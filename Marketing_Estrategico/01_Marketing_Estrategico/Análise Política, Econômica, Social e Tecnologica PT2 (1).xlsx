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1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julia.egute\OneDrive - ESPM\Área de Trabalho\DELIVERABLES 1\01_Marketing_Estrategico\"/>
    </mc:Choice>
  </mc:AlternateContent>
  <xr:revisionPtr revIDLastSave="9" documentId="8_{8065182A-3AD9-4202-8428-677B3210CA68}" xr6:coauthVersionLast="36" xr6:coauthVersionMax="36" xr10:uidLastSave="{B54961D3-542A-43F1-8AA3-38B10094040D}"/>
  <bookViews>
    <workbookView xWindow="0" yWindow="0" windowWidth="19200" windowHeight="6930" tabRatio="850" firstSheet="3" activeTab="3" xr2:uid="{00000000-000D-0000-FFFF-FFFF00000000}"/>
  </bookViews>
  <sheets>
    <sheet name="MENU" sheetId="2" state="hidden" r:id="rId1"/>
    <sheet name="Setores" sheetId="3" state="hidden" r:id="rId2"/>
    <sheet name="Líderes" sheetId="13" state="hidden" r:id="rId3"/>
    <sheet name="Fator Político" sheetId="4" r:id="rId4"/>
    <sheet name="Fator Econômico" sheetId="14" r:id="rId5"/>
    <sheet name="Fator Social" sheetId="15" r:id="rId6"/>
    <sheet name="Fator Tecnológico" sheetId="16" r:id="rId7"/>
    <sheet name="Matriz" sheetId="5" r:id="rId8"/>
    <sheet name="Planejamento" sheetId="6" state="hidden" r:id="rId9"/>
    <sheet name="Gráfico" sheetId="7" r:id="rId10"/>
    <sheet name="Análise do Planejamento" sheetId="8" state="hidden" r:id="rId11"/>
    <sheet name="Resumo" sheetId="9" r:id="rId12"/>
  </sheets>
  <definedNames>
    <definedName name="_xlnm.Print_Area" localSheetId="11">Resumo!$B$2:$N$41</definedName>
    <definedName name="areas">Setores!$B$4:$B$23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8" i="4" l="1"/>
  <c r="F9" i="4"/>
  <c r="F10" i="4"/>
  <c r="F11" i="4"/>
  <c r="F12" i="4"/>
  <c r="F13" i="4"/>
  <c r="F14" i="4"/>
  <c r="F15" i="4"/>
  <c r="F16" i="4"/>
  <c r="F5" i="4"/>
  <c r="F4" i="15" l="1"/>
  <c r="L4" i="15" s="1"/>
  <c r="F5" i="15"/>
  <c r="N5" i="15" s="1"/>
  <c r="F5" i="16"/>
  <c r="L5" i="16" s="1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5" i="6"/>
  <c r="J6" i="6"/>
  <c r="J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5" i="6"/>
  <c r="F6" i="6"/>
  <c r="F7" i="6"/>
  <c r="M5" i="4"/>
  <c r="L5" i="4"/>
  <c r="F6" i="4"/>
  <c r="N6" i="4" s="1"/>
  <c r="M4" i="14"/>
  <c r="F5" i="14"/>
  <c r="L5" i="14" s="1"/>
  <c r="F4" i="14"/>
  <c r="L4" i="14" s="1"/>
  <c r="M4" i="16"/>
  <c r="M4" i="15"/>
  <c r="R2" i="8"/>
  <c r="B2" i="8" a="1"/>
  <c r="B2" i="8" s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4" i="6"/>
  <c r="J4" i="6"/>
  <c r="F4" i="6"/>
  <c r="M23" i="16"/>
  <c r="F23" i="16"/>
  <c r="N23" i="16" s="1"/>
  <c r="M22" i="16"/>
  <c r="F22" i="16"/>
  <c r="N22" i="16" s="1"/>
  <c r="M21" i="16"/>
  <c r="F21" i="16"/>
  <c r="N21" i="16" s="1"/>
  <c r="M20" i="16"/>
  <c r="F20" i="16"/>
  <c r="N20" i="16" s="1"/>
  <c r="M19" i="16"/>
  <c r="F19" i="16"/>
  <c r="N19" i="16" s="1"/>
  <c r="M18" i="16"/>
  <c r="F18" i="16"/>
  <c r="M17" i="16"/>
  <c r="F17" i="16"/>
  <c r="L17" i="16" s="1"/>
  <c r="M16" i="16"/>
  <c r="F16" i="16"/>
  <c r="N16" i="16" s="1"/>
  <c r="M15" i="16"/>
  <c r="F15" i="16"/>
  <c r="M14" i="16"/>
  <c r="F14" i="16"/>
  <c r="N14" i="16" s="1"/>
  <c r="M13" i="16"/>
  <c r="F13" i="16"/>
  <c r="N13" i="16" s="1"/>
  <c r="M12" i="16"/>
  <c r="F12" i="16"/>
  <c r="N12" i="16" s="1"/>
  <c r="M11" i="16"/>
  <c r="F11" i="16"/>
  <c r="N11" i="16" s="1"/>
  <c r="M10" i="16"/>
  <c r="F10" i="16"/>
  <c r="N10" i="16" s="1"/>
  <c r="M9" i="16"/>
  <c r="F9" i="16"/>
  <c r="N9" i="16" s="1"/>
  <c r="M8" i="16"/>
  <c r="F8" i="16"/>
  <c r="N8" i="16" s="1"/>
  <c r="M7" i="16"/>
  <c r="F7" i="16"/>
  <c r="N7" i="16" s="1"/>
  <c r="M6" i="16"/>
  <c r="F6" i="16"/>
  <c r="N6" i="16" s="1"/>
  <c r="M5" i="16"/>
  <c r="F4" i="16"/>
  <c r="N4" i="16" s="1"/>
  <c r="M23" i="15"/>
  <c r="F23" i="15"/>
  <c r="N23" i="15" s="1"/>
  <c r="M22" i="15"/>
  <c r="F22" i="15"/>
  <c r="N22" i="15" s="1"/>
  <c r="M21" i="15"/>
  <c r="F21" i="15"/>
  <c r="M20" i="15"/>
  <c r="F20" i="15"/>
  <c r="L20" i="15" s="1"/>
  <c r="M19" i="15"/>
  <c r="F19" i="15"/>
  <c r="N19" i="15" s="1"/>
  <c r="M18" i="15"/>
  <c r="F18" i="15"/>
  <c r="M17" i="15"/>
  <c r="F17" i="15"/>
  <c r="N17" i="15" s="1"/>
  <c r="M16" i="15"/>
  <c r="F16" i="15"/>
  <c r="L16" i="15" s="1"/>
  <c r="M15" i="15"/>
  <c r="F15" i="15"/>
  <c r="N15" i="15" s="1"/>
  <c r="M14" i="15"/>
  <c r="F14" i="15"/>
  <c r="N14" i="15" s="1"/>
  <c r="M13" i="15"/>
  <c r="F13" i="15"/>
  <c r="N13" i="15" s="1"/>
  <c r="M12" i="15"/>
  <c r="F12" i="15"/>
  <c r="N12" i="15" s="1"/>
  <c r="M11" i="15"/>
  <c r="F11" i="15"/>
  <c r="N11" i="15" s="1"/>
  <c r="M10" i="15"/>
  <c r="F10" i="15"/>
  <c r="M9" i="15"/>
  <c r="F9" i="15"/>
  <c r="L9" i="15" s="1"/>
  <c r="M8" i="15"/>
  <c r="F8" i="15"/>
  <c r="N8" i="15" s="1"/>
  <c r="M7" i="15"/>
  <c r="F7" i="15"/>
  <c r="N7" i="15" s="1"/>
  <c r="M6" i="15"/>
  <c r="F6" i="15"/>
  <c r="N6" i="15" s="1"/>
  <c r="M5" i="15"/>
  <c r="M23" i="14"/>
  <c r="F23" i="14"/>
  <c r="N23" i="14" s="1"/>
  <c r="M22" i="14"/>
  <c r="F22" i="14"/>
  <c r="L22" i="14" s="1"/>
  <c r="M21" i="14"/>
  <c r="F21" i="14"/>
  <c r="L21" i="14" s="1"/>
  <c r="M20" i="14"/>
  <c r="F20" i="14"/>
  <c r="N20" i="14" s="1"/>
  <c r="M19" i="14"/>
  <c r="F19" i="14"/>
  <c r="N19" i="14" s="1"/>
  <c r="M18" i="14"/>
  <c r="F18" i="14"/>
  <c r="N18" i="14" s="1"/>
  <c r="M17" i="14"/>
  <c r="F17" i="14"/>
  <c r="N17" i="14" s="1"/>
  <c r="M16" i="14"/>
  <c r="F16" i="14"/>
  <c r="N16" i="14" s="1"/>
  <c r="M15" i="14"/>
  <c r="F15" i="14"/>
  <c r="N15" i="14" s="1"/>
  <c r="M14" i="14"/>
  <c r="F14" i="14"/>
  <c r="L14" i="14" s="1"/>
  <c r="M13" i="14"/>
  <c r="F13" i="14"/>
  <c r="L13" i="14" s="1"/>
  <c r="M12" i="14"/>
  <c r="F12" i="14"/>
  <c r="N12" i="14" s="1"/>
  <c r="M11" i="14"/>
  <c r="F11" i="14"/>
  <c r="N11" i="14" s="1"/>
  <c r="M10" i="14"/>
  <c r="F10" i="14"/>
  <c r="N10" i="14" s="1"/>
  <c r="M9" i="14"/>
  <c r="F9" i="14"/>
  <c r="L9" i="14" s="1"/>
  <c r="M8" i="14"/>
  <c r="F8" i="14"/>
  <c r="N8" i="14" s="1"/>
  <c r="M7" i="14"/>
  <c r="F7" i="14"/>
  <c r="N7" i="14" s="1"/>
  <c r="M6" i="14"/>
  <c r="F6" i="14"/>
  <c r="L6" i="14" s="1"/>
  <c r="M5" i="1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F7" i="4"/>
  <c r="N7" i="4" s="1"/>
  <c r="L9" i="4"/>
  <c r="L11" i="4"/>
  <c r="N13" i="4"/>
  <c r="N15" i="4"/>
  <c r="N16" i="4"/>
  <c r="F17" i="4"/>
  <c r="F18" i="4"/>
  <c r="L18" i="4" s="1"/>
  <c r="F19" i="4"/>
  <c r="L19" i="4" s="1"/>
  <c r="F20" i="4"/>
  <c r="N20" i="4" s="1"/>
  <c r="F21" i="4"/>
  <c r="L21" i="4" s="1"/>
  <c r="F22" i="4"/>
  <c r="F23" i="4"/>
  <c r="N23" i="4" s="1"/>
  <c r="F24" i="4"/>
  <c r="L21" i="16"/>
  <c r="L23" i="15"/>
  <c r="L15" i="15"/>
  <c r="L14" i="16" l="1"/>
  <c r="L16" i="16"/>
  <c r="L20" i="16"/>
  <c r="L11" i="16"/>
  <c r="L23" i="16"/>
  <c r="N9" i="4"/>
  <c r="N4" i="15"/>
  <c r="L7" i="4"/>
  <c r="N5" i="4"/>
  <c r="L13" i="16"/>
  <c r="L9" i="16"/>
  <c r="L6" i="16"/>
  <c r="N17" i="16"/>
  <c r="L12" i="15"/>
  <c r="N9" i="15"/>
  <c r="L22" i="15"/>
  <c r="L8" i="15"/>
  <c r="L5" i="15"/>
  <c r="L7" i="15"/>
  <c r="N20" i="15"/>
  <c r="L18" i="14"/>
  <c r="N21" i="14"/>
  <c r="L13" i="4"/>
  <c r="L12" i="14"/>
  <c r="L13" i="15"/>
  <c r="L19" i="16"/>
  <c r="N21" i="4"/>
  <c r="N19" i="4"/>
  <c r="N9" i="14"/>
  <c r="N14" i="14"/>
  <c r="L10" i="14"/>
  <c r="L11" i="15"/>
  <c r="L10" i="16"/>
  <c r="N6" i="14"/>
  <c r="N13" i="14"/>
  <c r="N16" i="15"/>
  <c r="L19" i="15"/>
  <c r="L17" i="14"/>
  <c r="L7" i="16"/>
  <c r="L16" i="14"/>
  <c r="L17" i="15"/>
  <c r="L6" i="15"/>
  <c r="L4" i="16"/>
  <c r="L23" i="4"/>
  <c r="L20" i="14"/>
  <c r="L8" i="14"/>
  <c r="L14" i="15"/>
  <c r="L12" i="16"/>
  <c r="N11" i="4"/>
  <c r="L20" i="4"/>
  <c r="N18" i="4"/>
  <c r="N22" i="14"/>
  <c r="N5" i="14"/>
  <c r="L6" i="4"/>
  <c r="R6" i="8"/>
  <c r="R8" i="8"/>
  <c r="L17" i="4"/>
  <c r="N17" i="4"/>
  <c r="N15" i="16"/>
  <c r="L15" i="16"/>
  <c r="N21" i="15"/>
  <c r="L21" i="15"/>
  <c r="N18" i="15"/>
  <c r="L18" i="15"/>
  <c r="N22" i="4"/>
  <c r="L22" i="4"/>
  <c r="L14" i="4"/>
  <c r="N14" i="4"/>
  <c r="N10" i="15"/>
  <c r="F24" i="15"/>
  <c r="C12" i="7" s="1"/>
  <c r="C26" i="9" s="1"/>
  <c r="L10" i="15"/>
  <c r="N18" i="16"/>
  <c r="L18" i="16"/>
  <c r="R7" i="8"/>
  <c r="R10" i="8"/>
  <c r="R3" i="8" s="1"/>
  <c r="L8" i="4"/>
  <c r="N8" i="4"/>
  <c r="R9" i="8"/>
  <c r="F25" i="4"/>
  <c r="C10" i="7" s="1"/>
  <c r="C24" i="9" s="1"/>
  <c r="L23" i="14"/>
  <c r="L19" i="14"/>
  <c r="L15" i="14"/>
  <c r="L11" i="14"/>
  <c r="L7" i="14"/>
  <c r="L22" i="16"/>
  <c r="L15" i="4"/>
  <c r="L10" i="4"/>
  <c r="N10" i="4"/>
  <c r="N5" i="16"/>
  <c r="F24" i="16"/>
  <c r="C13" i="7" s="1"/>
  <c r="C27" i="9" s="1"/>
  <c r="L24" i="4"/>
  <c r="N24" i="4"/>
  <c r="L16" i="4"/>
  <c r="L8" i="16"/>
  <c r="N12" i="4"/>
  <c r="L12" i="4"/>
  <c r="F24" i="14"/>
  <c r="C11" i="7" s="1"/>
  <c r="C25" i="9" s="1"/>
  <c r="N4" i="14"/>
  <c r="D17" i="5" l="1"/>
  <c r="I23" i="5" s="1"/>
  <c r="C14" i="5"/>
  <c r="K15" i="5" s="1"/>
  <c r="H15" i="5" s="1"/>
  <c r="D18" i="5"/>
  <c r="B45" i="7" s="1"/>
  <c r="I19" i="9" s="1"/>
  <c r="D9" i="5"/>
  <c r="I13" i="5" s="1"/>
  <c r="B8" i="5"/>
  <c r="I7" i="5" s="1"/>
  <c r="D15" i="5"/>
  <c r="I21" i="5" s="1"/>
  <c r="C6" i="5"/>
  <c r="K5" i="5" s="1"/>
  <c r="H5" i="5" s="1"/>
  <c r="E10" i="5"/>
  <c r="D37" i="7" s="1"/>
  <c r="K11" i="9" s="1"/>
  <c r="E16" i="5"/>
  <c r="D43" i="7" s="1"/>
  <c r="K17" i="9" s="1"/>
  <c r="B9" i="5"/>
  <c r="I8" i="5" s="1"/>
  <c r="D10" i="5"/>
  <c r="I14" i="5" s="1"/>
  <c r="B6" i="5"/>
  <c r="B17" i="7" s="1"/>
  <c r="B7" i="9" s="1"/>
  <c r="B16" i="5"/>
  <c r="B27" i="7" s="1"/>
  <c r="B17" i="9" s="1"/>
  <c r="C17" i="5"/>
  <c r="K18" i="5" s="1"/>
  <c r="H18" i="5" s="1"/>
  <c r="C9" i="5"/>
  <c r="E6" i="5"/>
  <c r="C15" i="5"/>
  <c r="D16" i="5"/>
  <c r="C8" i="5"/>
  <c r="D7" i="5"/>
  <c r="B10" i="5"/>
  <c r="D8" i="5"/>
  <c r="B7" i="5"/>
  <c r="E17" i="5"/>
  <c r="E18" i="5"/>
  <c r="C10" i="5"/>
  <c r="D6" i="5"/>
  <c r="E8" i="5"/>
  <c r="B14" i="5"/>
  <c r="B15" i="5"/>
  <c r="E7" i="5"/>
  <c r="E14" i="5"/>
  <c r="C18" i="5"/>
  <c r="C7" i="5"/>
  <c r="B18" i="5"/>
  <c r="C16" i="5"/>
  <c r="D14" i="5"/>
  <c r="E15" i="5"/>
  <c r="B17" i="5"/>
  <c r="E9" i="5"/>
  <c r="B44" i="7" l="1"/>
  <c r="I18" i="9" s="1"/>
  <c r="I24" i="5"/>
  <c r="D25" i="7"/>
  <c r="D15" i="9" s="1"/>
  <c r="B19" i="7"/>
  <c r="B9" i="9" s="1"/>
  <c r="C5" i="5"/>
  <c r="D17" i="7"/>
  <c r="D7" i="9" s="1"/>
  <c r="K22" i="5"/>
  <c r="H22" i="5" s="1"/>
  <c r="I17" i="5"/>
  <c r="B37" i="7"/>
  <c r="I11" i="9" s="1"/>
  <c r="B36" i="7"/>
  <c r="I10" i="9" s="1"/>
  <c r="K14" i="5"/>
  <c r="H14" i="5" s="1"/>
  <c r="I5" i="5"/>
  <c r="B20" i="7"/>
  <c r="B10" i="9" s="1"/>
  <c r="D28" i="7"/>
  <c r="D18" i="9" s="1"/>
  <c r="B42" i="7"/>
  <c r="I16" i="9" s="1"/>
  <c r="C13" i="5"/>
  <c r="E13" i="5"/>
  <c r="D41" i="7"/>
  <c r="K15" i="9" s="1"/>
  <c r="K20" i="5"/>
  <c r="H20" i="5" s="1"/>
  <c r="D35" i="7"/>
  <c r="K9" i="9" s="1"/>
  <c r="K12" i="5"/>
  <c r="H12" i="5" s="1"/>
  <c r="D45" i="7"/>
  <c r="K19" i="9" s="1"/>
  <c r="K24" i="5"/>
  <c r="H24" i="5" s="1"/>
  <c r="I9" i="5"/>
  <c r="B21" i="7"/>
  <c r="B11" i="9" s="1"/>
  <c r="I18" i="5"/>
  <c r="B28" i="7"/>
  <c r="B18" i="9" s="1"/>
  <c r="K11" i="5"/>
  <c r="H11" i="5" s="1"/>
  <c r="D34" i="7"/>
  <c r="K8" i="9" s="1"/>
  <c r="D44" i="7"/>
  <c r="K18" i="9" s="1"/>
  <c r="K23" i="5"/>
  <c r="H23" i="5" s="1"/>
  <c r="K10" i="5"/>
  <c r="H10" i="5" s="1"/>
  <c r="D33" i="7"/>
  <c r="K7" i="9" s="1"/>
  <c r="E5" i="5"/>
  <c r="K8" i="5"/>
  <c r="H8" i="5" s="1"/>
  <c r="D20" i="7"/>
  <c r="D10" i="9" s="1"/>
  <c r="D42" i="7"/>
  <c r="K16" i="9" s="1"/>
  <c r="K21" i="5"/>
  <c r="H21" i="5" s="1"/>
  <c r="K6" i="5"/>
  <c r="H6" i="5" s="1"/>
  <c r="D18" i="7"/>
  <c r="D8" i="9" s="1"/>
  <c r="I16" i="5"/>
  <c r="B26" i="7"/>
  <c r="B16" i="9" s="1"/>
  <c r="D21" i="7"/>
  <c r="D11" i="9" s="1"/>
  <c r="K9" i="5"/>
  <c r="H9" i="5" s="1"/>
  <c r="I6" i="5"/>
  <c r="B18" i="7"/>
  <c r="B8" i="9" s="1"/>
  <c r="D19" i="7"/>
  <c r="D9" i="9" s="1"/>
  <c r="K7" i="5"/>
  <c r="H7" i="5" s="1"/>
  <c r="D36" i="7"/>
  <c r="K10" i="9" s="1"/>
  <c r="K13" i="5"/>
  <c r="H13" i="5" s="1"/>
  <c r="D27" i="7"/>
  <c r="D17" i="9" s="1"/>
  <c r="K17" i="5"/>
  <c r="H17" i="5" s="1"/>
  <c r="D26" i="7"/>
  <c r="D16" i="9" s="1"/>
  <c r="K16" i="5"/>
  <c r="H16" i="5" s="1"/>
  <c r="I19" i="5"/>
  <c r="B29" i="7"/>
  <c r="B19" i="9" s="1"/>
  <c r="I10" i="5"/>
  <c r="B33" i="7"/>
  <c r="I7" i="9" s="1"/>
  <c r="B34" i="7"/>
  <c r="I8" i="9" s="1"/>
  <c r="I11" i="5"/>
  <c r="B41" i="7"/>
  <c r="I15" i="9" s="1"/>
  <c r="I20" i="5"/>
  <c r="D29" i="7"/>
  <c r="D19" i="9" s="1"/>
  <c r="K19" i="5"/>
  <c r="H19" i="5" s="1"/>
  <c r="B25" i="7"/>
  <c r="B15" i="9" s="1"/>
  <c r="I15" i="5"/>
  <c r="I12" i="5"/>
  <c r="B35" i="7"/>
  <c r="I9" i="9" s="1"/>
  <c r="I22" i="5"/>
  <c r="B43" i="7"/>
  <c r="I17" i="9" s="1"/>
  <c r="D4" i="6" l="1"/>
  <c r="O14" i="6"/>
  <c r="O18" i="6"/>
  <c r="D21" i="6"/>
  <c r="O8" i="6"/>
  <c r="D39" i="6"/>
  <c r="O16" i="6"/>
  <c r="O15" i="6"/>
  <c r="D9" i="6"/>
  <c r="D67" i="6"/>
  <c r="D24" i="6"/>
  <c r="D76" i="6"/>
  <c r="D34" i="6"/>
  <c r="C2" i="8"/>
  <c r="D62" i="6"/>
  <c r="D19" i="6"/>
  <c r="D86" i="6"/>
  <c r="D64" i="6"/>
  <c r="D43" i="6"/>
  <c r="D22" i="6"/>
  <c r="D95" i="6"/>
  <c r="D74" i="6"/>
  <c r="D52" i="6"/>
  <c r="D31" i="6"/>
  <c r="D10" i="6"/>
  <c r="D85" i="6"/>
  <c r="D69" i="6"/>
  <c r="D53" i="6"/>
  <c r="D37" i="6"/>
  <c r="O17" i="6"/>
  <c r="O9" i="6"/>
  <c r="D82" i="6"/>
  <c r="D92" i="6"/>
  <c r="D6" i="6"/>
  <c r="D56" i="6"/>
  <c r="D14" i="6"/>
  <c r="D66" i="6"/>
  <c r="D23" i="6"/>
  <c r="D94" i="6"/>
  <c r="D51" i="6"/>
  <c r="D8" i="6"/>
  <c r="D80" i="6"/>
  <c r="D59" i="6"/>
  <c r="D38" i="6"/>
  <c r="D16" i="6"/>
  <c r="D90" i="6"/>
  <c r="D68" i="6"/>
  <c r="D47" i="6"/>
  <c r="D26" i="6"/>
  <c r="D97" i="6"/>
  <c r="D81" i="6"/>
  <c r="D65" i="6"/>
  <c r="D49" i="6"/>
  <c r="D33" i="6"/>
  <c r="D17" i="6"/>
  <c r="O24" i="6"/>
  <c r="O20" i="6"/>
  <c r="O19" i="6"/>
  <c r="O23" i="6"/>
  <c r="O12" i="6"/>
  <c r="D71" i="6"/>
  <c r="D50" i="6"/>
  <c r="D88" i="6"/>
  <c r="D46" i="6"/>
  <c r="D5" i="6"/>
  <c r="D55" i="6"/>
  <c r="D12" i="6"/>
  <c r="D83" i="6"/>
  <c r="D40" i="6"/>
  <c r="D96" i="6"/>
  <c r="D75" i="6"/>
  <c r="D54" i="6"/>
  <c r="D32" i="6"/>
  <c r="D11" i="6"/>
  <c r="D84" i="6"/>
  <c r="D63" i="6"/>
  <c r="D42" i="6"/>
  <c r="D20" i="6"/>
  <c r="D93" i="6"/>
  <c r="D77" i="6"/>
  <c r="D61" i="6"/>
  <c r="D45" i="6"/>
  <c r="D29" i="6"/>
  <c r="D13" i="6"/>
  <c r="O11" i="6"/>
  <c r="O7" i="6"/>
  <c r="O22" i="6"/>
  <c r="O10" i="6"/>
  <c r="D60" i="6"/>
  <c r="D18" i="6"/>
  <c r="D78" i="6"/>
  <c r="D35" i="6"/>
  <c r="D87" i="6"/>
  <c r="D44" i="6"/>
  <c r="D28" i="6"/>
  <c r="D72" i="6"/>
  <c r="D30" i="6"/>
  <c r="D91" i="6"/>
  <c r="D70" i="6"/>
  <c r="D48" i="6"/>
  <c r="D27" i="6"/>
  <c r="D7" i="6"/>
  <c r="D79" i="6"/>
  <c r="D58" i="6"/>
  <c r="D36" i="6"/>
  <c r="D15" i="6"/>
  <c r="D89" i="6"/>
  <c r="D73" i="6"/>
  <c r="D57" i="6"/>
  <c r="D41" i="6"/>
  <c r="D25" i="6"/>
  <c r="O21" i="6"/>
  <c r="O13" i="6"/>
  <c r="O6" i="6"/>
  <c r="O5" i="6"/>
  <c r="D2" i="8" l="1"/>
  <c r="B4" i="8"/>
  <c r="B31" i="9" s="1"/>
  <c r="D4" i="8" l="1"/>
  <c r="D31" i="9" s="1"/>
  <c r="E2" i="8"/>
  <c r="E4" i="8" s="1"/>
  <c r="F31" i="9" s="1"/>
  <c r="A4" i="4" l="1"/>
</calcChain>
</file>

<file path=xl/sharedStrings.xml><?xml version="1.0" encoding="utf-8"?>
<sst xmlns="http://schemas.openxmlformats.org/spreadsheetml/2006/main" count="401" uniqueCount="160">
  <si>
    <t>MATRIZ PEST</t>
  </si>
  <si>
    <t>Importância</t>
  </si>
  <si>
    <t>Intensidade</t>
  </si>
  <si>
    <t>Tendência</t>
  </si>
  <si>
    <t>Pontuação</t>
  </si>
  <si>
    <t>Totalmente importante</t>
  </si>
  <si>
    <t>Muito forte</t>
  </si>
  <si>
    <t>Melhora muito</t>
  </si>
  <si>
    <t/>
  </si>
  <si>
    <t>Sem importância</t>
  </si>
  <si>
    <t>Pouco importante</t>
  </si>
  <si>
    <t>Importante</t>
  </si>
  <si>
    <t>Muito importante</t>
  </si>
  <si>
    <t>Forte</t>
  </si>
  <si>
    <t>Média</t>
  </si>
  <si>
    <t>Fraca</t>
  </si>
  <si>
    <t>Muito fraca</t>
  </si>
  <si>
    <t>Melhora</t>
  </si>
  <si>
    <t>→</t>
  </si>
  <si>
    <t>Mantém</t>
  </si>
  <si>
    <t>Piora</t>
  </si>
  <si>
    <t>Piora muito</t>
  </si>
  <si>
    <t>Pontuação geral dos fatores políticos</t>
  </si>
  <si>
    <t>Pontuação geral dos fatores econômicos</t>
  </si>
  <si>
    <t>Pontuação geral dos fatores sociais</t>
  </si>
  <si>
    <t>Pontuação geral dos fatores tecnológicos</t>
  </si>
  <si>
    <t>1.1 Top 5 Fatores Políticos</t>
  </si>
  <si>
    <t>1.2 Top 5 Fatores Econômicos</t>
  </si>
  <si>
    <t>Político</t>
  </si>
  <si>
    <t>Econômico</t>
  </si>
  <si>
    <t>2.3 Top 5 Fatores Sociais</t>
  </si>
  <si>
    <t>2.4 Top 5 Fatores Tecnológicos</t>
  </si>
  <si>
    <t>Social</t>
  </si>
  <si>
    <t>Tecnológico</t>
  </si>
  <si>
    <t>Fator PEST</t>
  </si>
  <si>
    <t>Andamento</t>
  </si>
  <si>
    <t>Em andamento</t>
  </si>
  <si>
    <t>Análise geral dos fatores PEST</t>
  </si>
  <si>
    <t>Políticos</t>
  </si>
  <si>
    <t>Econômicos</t>
  </si>
  <si>
    <t>Sociais</t>
  </si>
  <si>
    <t>Tecnológicos</t>
  </si>
  <si>
    <t>Análise dos fatores políticos</t>
  </si>
  <si>
    <t>Análise dos fatores econômicos</t>
  </si>
  <si>
    <t>Análise dos fatores tecnológicos</t>
  </si>
  <si>
    <t>Legal, você criou planos de ação para todos ou quase todos os itens. Se tudo correr bem, você obterá resultados brevemente. Parabéns!</t>
  </si>
  <si>
    <t>Se você busca melhores resultados, é preciso atuar em mais itens criando planos de ação eficientes para cada um deles!</t>
  </si>
  <si>
    <t>Não está ruim, mas é preciso ter atenção. Se você busca resultados melhores no seu negócio, talvez seja necessário atuar em mais itens criando ainda mais planos de ação!</t>
  </si>
  <si>
    <t>No prazo</t>
  </si>
  <si>
    <t>Atrasado</t>
  </si>
  <si>
    <t>Status dos seus planos de ação</t>
  </si>
  <si>
    <t>Aguardando</t>
  </si>
  <si>
    <t>Adiantado</t>
  </si>
  <si>
    <t>Concluído</t>
  </si>
  <si>
    <t>1. Resultados PEST</t>
  </si>
  <si>
    <t>2. Resultados planos de ação</t>
  </si>
  <si>
    <t>Gráfico de radar da análise PEST</t>
  </si>
  <si>
    <t>Conformidade das ações</t>
  </si>
  <si>
    <t>Análise dos fatores sociais</t>
  </si>
  <si>
    <t>areas</t>
  </si>
  <si>
    <t>Não Iniciado</t>
  </si>
  <si>
    <t>1.0</t>
  </si>
  <si>
    <t>2.0</t>
  </si>
  <si>
    <t>3.0</t>
  </si>
  <si>
    <t>4.0</t>
  </si>
  <si>
    <t>5.0</t>
  </si>
  <si>
    <t>6.0</t>
  </si>
  <si>
    <t>7.0</t>
  </si>
  <si>
    <t>ANÁLISE POLÍTICA, ECONÔMICA, SOCIAL E TECNOLÓGICA (PEST)</t>
  </si>
  <si>
    <t>Insira informações básicas sobre o negócio e os participantes.</t>
  </si>
  <si>
    <t>Insira dados referentes a cada fator e inicie o processo de análise, indicando a importância, a intensidade e a tendência</t>
  </si>
  <si>
    <t>Observe na matriz quais são os itens que necessitam de maior atenção. Essas informações são essenciais para o planejamento.</t>
  </si>
  <si>
    <t>Determine quais atividades são essenciais para aproveitar oportunidades ou evitar ameaças.</t>
  </si>
  <si>
    <t>PLANEJAMENTO</t>
  </si>
  <si>
    <t>INFORMAÇÕES PRELIMINARES</t>
  </si>
  <si>
    <t>PROCESSO DE ANÁLISE</t>
  </si>
  <si>
    <t>GRÁFICO PEST</t>
  </si>
  <si>
    <t>ANÁLISE DO PLANEJAMENTO</t>
  </si>
  <si>
    <t>RESUMO</t>
  </si>
  <si>
    <t>Visualize os dados consolidados através de gráficos.</t>
  </si>
  <si>
    <t>Analise graficamente o planejamento estruturado a partir da análise.</t>
  </si>
  <si>
    <t>Navegue pelas informações geradas a partir do cruzamento dos dados da análise.</t>
  </si>
  <si>
    <t>Financeiro</t>
  </si>
  <si>
    <t>Operações</t>
  </si>
  <si>
    <t>Qualidade</t>
  </si>
  <si>
    <t>Atendimento</t>
  </si>
  <si>
    <t>Segurança</t>
  </si>
  <si>
    <t>Colaborador 1</t>
  </si>
  <si>
    <t>Colaborador 2</t>
  </si>
  <si>
    <t>Colaborador 3</t>
  </si>
  <si>
    <t>Colaborador 4</t>
  </si>
  <si>
    <t>Colaborador 5</t>
  </si>
  <si>
    <t>Colaborador 6</t>
  </si>
  <si>
    <t>Novo ministro da economia</t>
  </si>
  <si>
    <t>Instabilidade política na câmara dos deputados</t>
  </si>
  <si>
    <t>Redução da taxa SELIC</t>
  </si>
  <si>
    <t>Aumento das exportações</t>
  </si>
  <si>
    <t>Atividades 1</t>
  </si>
  <si>
    <t>Atividades 2</t>
  </si>
  <si>
    <t>Atividades 3</t>
  </si>
  <si>
    <t>Atividades 4</t>
  </si>
  <si>
    <t>Atividades Planejadas</t>
  </si>
  <si>
    <t>Fator Relacionado</t>
  </si>
  <si>
    <t>Em Andamento</t>
  </si>
  <si>
    <t>Planejamento das Atividades</t>
  </si>
  <si>
    <t>Conformidade do Planejamento</t>
  </si>
  <si>
    <t>Status das Atividades</t>
  </si>
  <si>
    <t>Visão Geral dos Fatores</t>
  </si>
  <si>
    <t>Fatores Políticos</t>
  </si>
  <si>
    <t>Fatores Econômicos</t>
  </si>
  <si>
    <t>Fatores Sociais</t>
  </si>
  <si>
    <t>Fatores Tecnológicos</t>
  </si>
  <si>
    <t>Líder</t>
  </si>
  <si>
    <t>Setor</t>
  </si>
  <si>
    <t>Iníco</t>
  </si>
  <si>
    <t>Término</t>
  </si>
  <si>
    <t>Etapa</t>
  </si>
  <si>
    <t>Fator Analisado</t>
  </si>
  <si>
    <t>Líderes</t>
  </si>
  <si>
    <t>Cadastramento dos Setores da Empresa</t>
  </si>
  <si>
    <t>Avanço da regulamentação da Inteligência Artificial no Brasil</t>
  </si>
  <si>
    <t>Regulamentação e fiscalização da LGPD no uso de dados corporativos</t>
  </si>
  <si>
    <t>Marcos regulatórios e de compliance no setor financeiro</t>
  </si>
  <si>
    <t>Tributação sobre serviços de tecnologia e computação em nuvem</t>
  </si>
  <si>
    <t>Regras sobre transferência internacional de dados (Cloud)</t>
  </si>
  <si>
    <t>Políticas de incentivo governamental à inovação e IA</t>
  </si>
  <si>
    <t>Leis trabalhistas e regulamentação de profissionais de TI (CLT vs. PJ)</t>
  </si>
  <si>
    <t>Direitos autorais e Propriedade Intelectual em conteúdos gerados por IA</t>
  </si>
  <si>
    <t>Políticas governamentais de compras de TI e licitações</t>
  </si>
  <si>
    <t>Regulamentação de soberania de dados nacionais</t>
  </si>
  <si>
    <t>Variação cambial (Dólar) impactando licenças de Cloud (AWS, Azure, etc.)</t>
  </si>
  <si>
    <t>Crescimento de investimentos tecnológicos no Setor Financeiro e Seguradoras</t>
  </si>
  <si>
    <t>Inflação salarial e custo para atração/retenção de talentos de TI</t>
  </si>
  <si>
    <t>Orçamento corporativo focado em eficiência e redução de custos (FinOps)</t>
  </si>
  <si>
    <r>
      <t xml:space="preserve">Competitividade e pressão sobre o </t>
    </r>
    <r>
      <rPr>
        <i/>
        <sz val="11"/>
        <color theme="1"/>
        <rFont val="Calibri"/>
        <family val="2"/>
        <scheme val="minor"/>
      </rPr>
      <t>pricing</t>
    </r>
    <r>
      <rPr>
        <sz val="11"/>
        <color theme="1"/>
        <rFont val="Calibri"/>
        <family val="2"/>
        <scheme val="minor"/>
      </rPr>
      <t xml:space="preserve"> de consultorias de dados</t>
    </r>
  </si>
  <si>
    <t>Taxa de juros (Selic) afetando o crédito para expansão de clientes B2B</t>
  </si>
  <si>
    <t>Custos de infraestrutura para expansão da equipe interna em 40%</t>
  </si>
  <si>
    <t>Acesso a capital de risco e investimentos no ecossistema de tecnologia</t>
  </si>
  <si>
    <t>Risco de instabilidade econômica global afetando renovações de contratos</t>
  </si>
  <si>
    <t>Inflação geral impactando os custos operacionais da QSOFT</t>
  </si>
  <si>
    <r>
      <t>Adoção descontrolada de ferramentas de IA pelos funcionários (</t>
    </r>
    <r>
      <rPr>
        <i/>
        <sz val="11"/>
        <color theme="1"/>
        <rFont val="Calibri"/>
        <family val="2"/>
        <scheme val="minor"/>
      </rPr>
      <t>Shadow AI</t>
    </r>
    <r>
      <rPr>
        <sz val="11"/>
        <color theme="1"/>
        <rFont val="Calibri"/>
        <family val="2"/>
        <scheme val="minor"/>
      </rPr>
      <t>)</t>
    </r>
  </si>
  <si>
    <t>Escassez de mão de obra superespecializada em dados e IA no mercado</t>
  </si>
  <si>
    <t>Mudança de cultura corporativa focada em tomada de decisão baseada em dados</t>
  </si>
  <si>
    <t>Preocupação crescente com a privacidade e vazamento de dados corporativos</t>
  </si>
  <si>
    <r>
      <t>Necessidade contínua de capacitação das equipes (</t>
    </r>
    <r>
      <rPr>
        <i/>
        <sz val="11"/>
        <color theme="1"/>
        <rFont val="Calibri"/>
        <family val="2"/>
        <scheme val="minor"/>
      </rPr>
      <t>Lifelong learning</t>
    </r>
    <r>
      <rPr>
        <sz val="11"/>
        <color theme="1"/>
        <rFont val="Calibri"/>
        <family val="2"/>
        <scheme val="minor"/>
      </rPr>
      <t>)</t>
    </r>
  </si>
  <si>
    <r>
      <t xml:space="preserve">Maturidade digital e resistência à mudança por parte de </t>
    </r>
    <r>
      <rPr>
        <i/>
        <sz val="11"/>
        <color theme="1"/>
        <rFont val="Calibri"/>
        <family val="2"/>
        <scheme val="minor"/>
      </rPr>
      <t>stakeholders</t>
    </r>
    <r>
      <rPr>
        <sz val="11"/>
        <color theme="1"/>
        <rFont val="Calibri"/>
        <family val="2"/>
        <scheme val="minor"/>
      </rPr>
      <t xml:space="preserve"> não-técnicos</t>
    </r>
  </si>
  <si>
    <t>Impacto do trabalho remoto/híbrido no aculturamento de novos colaboradores</t>
  </si>
  <si>
    <t>Expectativa do cliente por hiperpersonalização e atendimento consultivo próximo</t>
  </si>
  <si>
    <t>Resistência social e medo da substituição de empregos por Inteligência Artificial</t>
  </si>
  <si>
    <r>
      <t xml:space="preserve">Síndrome de </t>
    </r>
    <r>
      <rPr>
        <i/>
        <sz val="11"/>
        <color theme="1"/>
        <rFont val="Calibri"/>
        <family val="2"/>
        <scheme val="minor"/>
      </rPr>
      <t>burnout</t>
    </r>
    <r>
      <rPr>
        <sz val="11"/>
        <color theme="1"/>
        <rFont val="Calibri"/>
        <family val="2"/>
        <scheme val="minor"/>
      </rPr>
      <t xml:space="preserve"> e esgotamento mental em profissionais de tecnologia</t>
    </r>
  </si>
  <si>
    <t>Rápida evolução e surgimento de novas ferramentas de Inteligência Artificial</t>
  </si>
  <si>
    <t>Crescimento da necessidade de plataformas de Governança de Dados e IA</t>
  </si>
  <si>
    <t>Evolução dos ecossistemas de Cloud e Data Lakehouses (Databricks, Snowflake)</t>
  </si>
  <si>
    <t>Aumento da complexidade na integração de múltiplas plataformas (Salesforce, Oracle, etc.)</t>
  </si>
  <si>
    <r>
      <t xml:space="preserve">Democratização do </t>
    </r>
    <r>
      <rPr>
        <i/>
        <sz val="11"/>
        <color theme="1"/>
        <rFont val="Calibri"/>
        <family val="2"/>
        <scheme val="minor"/>
      </rPr>
      <t>Self-Service BI</t>
    </r>
    <r>
      <rPr>
        <sz val="11"/>
        <color theme="1"/>
        <rFont val="Calibri"/>
        <family val="2"/>
        <scheme val="minor"/>
      </rPr>
      <t xml:space="preserve"> exigindo mais controle e monitoramento</t>
    </r>
  </si>
  <si>
    <r>
      <t xml:space="preserve">Automação de </t>
    </r>
    <r>
      <rPr>
        <i/>
        <sz val="11"/>
        <color theme="1"/>
        <rFont val="Calibri"/>
        <family val="2"/>
        <scheme val="minor"/>
      </rPr>
      <t>pipelines</t>
    </r>
    <r>
      <rPr>
        <sz val="11"/>
        <color theme="1"/>
        <rFont val="Calibri"/>
        <family val="2"/>
        <scheme val="minor"/>
      </rPr>
      <t xml:space="preserve"> de dados, </t>
    </r>
    <r>
      <rPr>
        <i/>
        <sz val="11"/>
        <color theme="1"/>
        <rFont val="Calibri"/>
        <family val="2"/>
        <scheme val="minor"/>
      </rPr>
      <t>Machine Learning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DataOps</t>
    </r>
  </si>
  <si>
    <t>Avanços em cibersegurança para mitigar riscos de ferramentas não homologadas</t>
  </si>
  <si>
    <r>
      <t xml:space="preserve">Rápida obsolescência técnica de </t>
    </r>
    <r>
      <rPr>
        <i/>
        <sz val="11"/>
        <color theme="1"/>
        <rFont val="Calibri"/>
        <family val="2"/>
        <scheme val="minor"/>
      </rPr>
      <t>softwares</t>
    </r>
    <r>
      <rPr>
        <sz val="11"/>
        <color theme="1"/>
        <rFont val="Calibri"/>
        <family val="2"/>
        <scheme val="minor"/>
      </rPr>
      <t xml:space="preserve"> e necessidade de atualização</t>
    </r>
  </si>
  <si>
    <r>
      <t xml:space="preserve">Transição de ferramentas proprietárias para soluções baseadas em </t>
    </r>
    <r>
      <rPr>
        <i/>
        <sz val="11"/>
        <color theme="1"/>
        <rFont val="Calibri"/>
        <family val="2"/>
        <scheme val="minor"/>
      </rPr>
      <t>Open Source</t>
    </r>
  </si>
  <si>
    <r>
      <t xml:space="preserve">Avanços em </t>
    </r>
    <r>
      <rPr>
        <i/>
        <sz val="11"/>
        <color theme="1"/>
        <rFont val="Calibri"/>
        <family val="2"/>
        <scheme val="minor"/>
      </rPr>
      <t>Edge Computing</t>
    </r>
    <r>
      <rPr>
        <sz val="11"/>
        <color theme="1"/>
        <rFont val="Calibri"/>
        <family val="2"/>
        <scheme val="minor"/>
      </rPr>
      <t xml:space="preserve"> e processamento descentralizado de dados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</si>
</sst>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3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33333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</font>
    <font>
      <sz val="12"/>
      <color theme="1" tint="0.249977111117893"/>
      <name val="Calibri"/>
      <family val="2"/>
      <scheme val="minor"/>
    </font>
    <font>
      <b/>
      <sz val="16"/>
      <color rgb="FF666666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sz val="12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rgb="FF33333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CF0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31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theme="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6795556505021"/>
      </top>
      <bottom style="thin">
        <color theme="0" tint="-0.14999847407452621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ck">
        <color theme="0"/>
      </right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 style="thick">
        <color theme="0"/>
      </left>
      <right style="thick">
        <color theme="0"/>
      </right>
      <top style="thin">
        <color theme="0" tint="-0.14999847407452621"/>
      </top>
      <bottom style="thick">
        <color theme="0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/>
    <xf numFmtId="164" fontId="4" fillId="3" borderId="3" xfId="0" applyNumberFormat="1" applyFont="1" applyFill="1" applyBorder="1" applyAlignment="1" applyProtection="1">
      <alignment horizontal="left" vertical="center" wrapText="1" indent="2"/>
      <protection locked="0"/>
    </xf>
    <xf numFmtId="164" fontId="4" fillId="3" borderId="3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0" xfId="0" applyFont="1"/>
    <xf numFmtId="0" fontId="10" fillId="0" borderId="0" xfId="0" applyFont="1"/>
    <xf numFmtId="0" fontId="11" fillId="0" borderId="0" xfId="0" applyFont="1"/>
    <xf numFmtId="164" fontId="4" fillId="3" borderId="3" xfId="0" applyNumberFormat="1" applyFont="1" applyFill="1" applyBorder="1" applyAlignment="1" applyProtection="1">
      <alignment horizontal="center" vertical="center"/>
      <protection locked="0"/>
    </xf>
    <xf numFmtId="164" fontId="4" fillId="3" borderId="4" xfId="0" applyNumberFormat="1" applyFont="1" applyFill="1" applyBorder="1" applyAlignment="1" applyProtection="1">
      <alignment horizontal="center" vertical="center"/>
      <protection locked="0"/>
    </xf>
    <xf numFmtId="164" fontId="8" fillId="0" borderId="0" xfId="0" applyNumberFormat="1" applyFont="1"/>
    <xf numFmtId="0" fontId="8" fillId="0" borderId="5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5" fillId="2" borderId="1" xfId="1" applyNumberFormat="1" applyFont="1" applyFill="1" applyBorder="1" applyAlignment="1" applyProtection="1">
      <alignment horizontal="left" vertical="center" indent="1"/>
    </xf>
    <xf numFmtId="164" fontId="15" fillId="3" borderId="9" xfId="0" quotePrefix="1" applyNumberFormat="1" applyFont="1" applyFill="1" applyBorder="1" applyAlignment="1" applyProtection="1">
      <alignment horizontal="left" vertical="center" wrapText="1" indent="1"/>
      <protection locked="0"/>
    </xf>
    <xf numFmtId="14" fontId="15" fillId="3" borderId="10" xfId="0" applyNumberFormat="1" applyFont="1" applyFill="1" applyBorder="1" applyAlignment="1" applyProtection="1">
      <alignment horizontal="center" vertical="center" wrapText="1"/>
      <protection locked="0"/>
    </xf>
    <xf numFmtId="14" fontId="15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15" fillId="3" borderId="11" xfId="0" quotePrefix="1" applyNumberFormat="1" applyFont="1" applyFill="1" applyBorder="1" applyAlignment="1" applyProtection="1">
      <alignment horizontal="left" vertical="center" wrapText="1" indent="1"/>
      <protection locked="0"/>
    </xf>
    <xf numFmtId="0" fontId="15" fillId="0" borderId="12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13" xfId="0" applyFont="1" applyFill="1" applyBorder="1" applyAlignment="1" applyProtection="1">
      <alignment horizontal="center" vertical="center" wrapText="1"/>
      <protection locked="0"/>
    </xf>
    <xf numFmtId="0" fontId="15" fillId="3" borderId="14" xfId="0" quotePrefix="1" applyFont="1" applyFill="1" applyBorder="1" applyAlignment="1" applyProtection="1">
      <alignment horizontal="center" vertical="center" wrapText="1"/>
      <protection locked="0"/>
    </xf>
    <xf numFmtId="0" fontId="16" fillId="0" borderId="1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0" applyFont="1"/>
    <xf numFmtId="0" fontId="0" fillId="0" borderId="0" xfId="1" applyNumberFormat="1" applyFont="1" applyProtection="1"/>
    <xf numFmtId="9" fontId="25" fillId="3" borderId="1" xfId="1" applyFont="1" applyFill="1" applyBorder="1" applyAlignment="1">
      <alignment horizontal="center" vertical="top"/>
    </xf>
    <xf numFmtId="9" fontId="26" fillId="3" borderId="2" xfId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8" fillId="0" borderId="15" xfId="0" applyFont="1" applyBorder="1" applyAlignment="1">
      <alignment vertical="center"/>
    </xf>
    <xf numFmtId="0" fontId="15" fillId="0" borderId="19" xfId="1" applyNumberFormat="1" applyFont="1" applyFill="1" applyBorder="1" applyAlignment="1" applyProtection="1">
      <alignment horizontal="left" vertical="center" wrapText="1" indent="1"/>
      <protection locked="0"/>
    </xf>
    <xf numFmtId="164" fontId="15" fillId="3" borderId="21" xfId="0" quotePrefix="1" applyNumberFormat="1" applyFont="1" applyFill="1" applyBorder="1" applyAlignment="1" applyProtection="1">
      <alignment horizontal="left" vertical="center" wrapText="1" indent="1"/>
      <protection locked="0"/>
    </xf>
    <xf numFmtId="0" fontId="15" fillId="0" borderId="20" xfId="1" applyNumberFormat="1" applyFont="1" applyFill="1" applyBorder="1" applyAlignment="1" applyProtection="1">
      <alignment horizontal="left" vertical="center" wrapText="1" indent="1"/>
      <protection locked="0"/>
    </xf>
    <xf numFmtId="164" fontId="15" fillId="3" borderId="23" xfId="0" quotePrefix="1" applyNumberFormat="1" applyFont="1" applyFill="1" applyBorder="1" applyAlignment="1" applyProtection="1">
      <alignment horizontal="left" vertical="center" wrapText="1" indent="1"/>
      <protection locked="0"/>
    </xf>
    <xf numFmtId="0" fontId="15" fillId="2" borderId="22" xfId="1" applyNumberFormat="1" applyFont="1" applyFill="1" applyBorder="1" applyAlignment="1" applyProtection="1">
      <alignment horizontal="left" vertical="center" wrapText="1" indent="1"/>
    </xf>
    <xf numFmtId="14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14" fontId="15" fillId="3" borderId="19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0" fontId="11" fillId="0" borderId="0" xfId="0" quotePrefix="1" applyFont="1"/>
    <xf numFmtId="164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/>
    <xf numFmtId="0" fontId="2" fillId="0" borderId="0" xfId="0" applyFont="1" applyAlignment="1">
      <alignment horizontal="center"/>
    </xf>
    <xf numFmtId="164" fontId="1" fillId="3" borderId="3" xfId="0" applyNumberFormat="1" applyFont="1" applyFill="1" applyBorder="1" applyAlignment="1" applyProtection="1">
      <alignment horizontal="left" vertical="center" wrapText="1" indent="2"/>
      <protection locked="0"/>
    </xf>
    <xf numFmtId="164" fontId="1" fillId="3" borderId="3" xfId="0" applyNumberFormat="1" applyFont="1" applyFill="1" applyBorder="1" applyAlignment="1" applyProtection="1">
      <alignment horizontal="center" vertical="center"/>
      <protection locked="0"/>
    </xf>
    <xf numFmtId="164" fontId="1" fillId="3" borderId="4" xfId="0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Protection="1"/>
    <xf numFmtId="0" fontId="0" fillId="5" borderId="0" xfId="0" applyFill="1"/>
    <xf numFmtId="0" fontId="9" fillId="6" borderId="1" xfId="0" applyFont="1" applyFill="1" applyBorder="1" applyAlignment="1">
      <alignment horizontal="left" vertical="center" wrapText="1" indent="2"/>
    </xf>
    <xf numFmtId="0" fontId="2" fillId="5" borderId="0" xfId="0" applyFont="1" applyFill="1"/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right" vertical="center" wrapText="1" indent="2"/>
    </xf>
    <xf numFmtId="1" fontId="13" fillId="7" borderId="1" xfId="0" applyNumberFormat="1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 indent="2"/>
    </xf>
    <xf numFmtId="0" fontId="11" fillId="6" borderId="7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vertical="center" wrapText="1" indent="2"/>
    </xf>
    <xf numFmtId="0" fontId="1" fillId="5" borderId="7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 indent="1"/>
    </xf>
    <xf numFmtId="0" fontId="15" fillId="5" borderId="22" xfId="1" applyNumberFormat="1" applyFont="1" applyFill="1" applyBorder="1" applyAlignment="1" applyProtection="1">
      <alignment horizontal="left" vertical="center" indent="1"/>
    </xf>
    <xf numFmtId="0" fontId="15" fillId="5" borderId="22" xfId="1" applyNumberFormat="1" applyFont="1" applyFill="1" applyBorder="1" applyAlignment="1" applyProtection="1">
      <alignment horizontal="left" vertical="center" wrapText="1" indent="1"/>
    </xf>
    <xf numFmtId="0" fontId="15" fillId="5" borderId="1" xfId="1" applyNumberFormat="1" applyFont="1" applyFill="1" applyBorder="1" applyAlignment="1" applyProtection="1">
      <alignment horizontal="left" vertical="center" indent="1"/>
    </xf>
    <xf numFmtId="0" fontId="17" fillId="6" borderId="1" xfId="0" applyFont="1" applyFill="1" applyBorder="1" applyAlignment="1">
      <alignment horizontal="left" vertical="center" wrapText="1" indent="1"/>
    </xf>
    <xf numFmtId="0" fontId="31" fillId="0" borderId="0" xfId="0" applyFont="1" applyAlignment="1">
      <alignment vertical="center"/>
    </xf>
    <xf numFmtId="0" fontId="31" fillId="0" borderId="0" xfId="0" applyFont="1"/>
    <xf numFmtId="0" fontId="33" fillId="4" borderId="26" xfId="0" applyFont="1" applyFill="1" applyBorder="1" applyAlignment="1">
      <alignment horizontal="center" vertical="center"/>
    </xf>
    <xf numFmtId="0" fontId="32" fillId="4" borderId="26" xfId="0" applyFont="1" applyFill="1" applyBorder="1" applyAlignment="1">
      <alignment horizontal="left" vertical="center" indent="1"/>
    </xf>
    <xf numFmtId="0" fontId="2" fillId="4" borderId="26" xfId="0" applyFont="1" applyFill="1" applyBorder="1"/>
    <xf numFmtId="0" fontId="0" fillId="4" borderId="26" xfId="0" applyFill="1" applyBorder="1"/>
    <xf numFmtId="0" fontId="0" fillId="3" borderId="0" xfId="0" applyFill="1"/>
    <xf numFmtId="0" fontId="2" fillId="3" borderId="0" xfId="0" applyFont="1" applyFill="1"/>
    <xf numFmtId="0" fontId="8" fillId="3" borderId="0" xfId="0" applyFont="1" applyFill="1"/>
    <xf numFmtId="0" fontId="3" fillId="3" borderId="0" xfId="0" applyFont="1" applyFill="1"/>
    <xf numFmtId="0" fontId="30" fillId="3" borderId="0" xfId="0" applyFont="1" applyFill="1"/>
    <xf numFmtId="0" fontId="30" fillId="3" borderId="0" xfId="0" applyFont="1" applyFill="1" applyAlignment="1">
      <alignment horizontal="center" vertical="center"/>
    </xf>
    <xf numFmtId="0" fontId="6" fillId="6" borderId="8" xfId="0" applyFont="1" applyFill="1" applyBorder="1" applyAlignment="1">
      <alignment horizontal="left" vertical="center" wrapText="1" indent="2"/>
    </xf>
    <xf numFmtId="0" fontId="1" fillId="5" borderId="8" xfId="0" applyFont="1" applyFill="1" applyBorder="1" applyAlignment="1">
      <alignment horizontal="left" vertical="center" wrapText="1" indent="2"/>
    </xf>
    <xf numFmtId="0" fontId="1" fillId="5" borderId="7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 applyProtection="1">
      <alignment horizontal="left" vertical="center" wrapText="1" indent="1"/>
      <protection locked="0"/>
    </xf>
    <xf numFmtId="0" fontId="0" fillId="0" borderId="0" xfId="0" applyAlignment="1">
      <alignment horizontal="center"/>
    </xf>
    <xf numFmtId="164" fontId="1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3" borderId="10" xfId="0" applyNumberFormat="1" applyFont="1" applyFill="1" applyBorder="1" applyAlignment="1" applyProtection="1">
      <alignment horizontal="left" vertical="center" wrapText="1" indent="2"/>
      <protection locked="0"/>
    </xf>
    <xf numFmtId="0" fontId="0" fillId="0" borderId="28" xfId="0" applyBorder="1"/>
    <xf numFmtId="0" fontId="0" fillId="0" borderId="27" xfId="0" applyBorder="1"/>
    <xf numFmtId="0" fontId="0" fillId="0" borderId="29" xfId="0" applyBorder="1"/>
    <xf numFmtId="0" fontId="0" fillId="0" borderId="30" xfId="0" applyBorder="1" applyAlignment="1">
      <alignment wrapText="1"/>
    </xf>
    <xf numFmtId="0" fontId="34" fillId="5" borderId="0" xfId="0" applyFont="1" applyFill="1" applyAlignment="1">
      <alignment horizontal="left" vertical="center"/>
    </xf>
    <xf numFmtId="0" fontId="5" fillId="3" borderId="26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 indent="1"/>
    </xf>
    <xf numFmtId="0" fontId="13" fillId="7" borderId="6" xfId="0" applyFont="1" applyFill="1" applyBorder="1" applyAlignment="1">
      <alignment horizontal="left" vertical="center" wrapText="1" indent="1"/>
    </xf>
    <xf numFmtId="0" fontId="30" fillId="3" borderId="0" xfId="0" applyFont="1" applyFill="1" applyAlignment="1">
      <alignment horizontal="left" vertical="center"/>
    </xf>
    <xf numFmtId="0" fontId="19" fillId="5" borderId="16" xfId="1" applyNumberFormat="1" applyFont="1" applyFill="1" applyBorder="1" applyAlignment="1" applyProtection="1">
      <alignment horizontal="left" vertical="center" wrapText="1" indent="1"/>
    </xf>
    <xf numFmtId="0" fontId="19" fillId="5" borderId="17" xfId="1" applyNumberFormat="1" applyFont="1" applyFill="1" applyBorder="1" applyAlignment="1" applyProtection="1">
      <alignment horizontal="left" vertical="center" wrapText="1" indent="1"/>
    </xf>
    <xf numFmtId="0" fontId="21" fillId="3" borderId="16" xfId="1" applyNumberFormat="1" applyFont="1" applyFill="1" applyBorder="1" applyAlignment="1" applyProtection="1">
      <alignment horizontal="left" vertical="center" wrapText="1" indent="2"/>
    </xf>
    <xf numFmtId="0" fontId="21" fillId="3" borderId="17" xfId="1" applyNumberFormat="1" applyFont="1" applyFill="1" applyBorder="1" applyAlignment="1" applyProtection="1">
      <alignment horizontal="left" vertical="center" wrapText="1" indent="2"/>
    </xf>
    <xf numFmtId="1" fontId="24" fillId="3" borderId="6" xfId="1" applyNumberFormat="1" applyFont="1" applyFill="1" applyBorder="1" applyAlignment="1" applyProtection="1">
      <alignment horizontal="center" vertical="center" wrapText="1"/>
    </xf>
    <xf numFmtId="1" fontId="24" fillId="3" borderId="8" xfId="1" applyNumberFormat="1" applyFont="1" applyFill="1" applyBorder="1" applyAlignment="1" applyProtection="1">
      <alignment horizontal="center" vertical="center" wrapText="1"/>
    </xf>
    <xf numFmtId="0" fontId="16" fillId="0" borderId="15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0" fillId="3" borderId="16" xfId="1" applyNumberFormat="1" applyFont="1" applyFill="1" applyBorder="1" applyAlignment="1" applyProtection="1">
      <alignment horizontal="left" vertical="center" wrapText="1" indent="2"/>
    </xf>
    <xf numFmtId="0" fontId="20" fillId="3" borderId="17" xfId="1" applyNumberFormat="1" applyFont="1" applyFill="1" applyBorder="1" applyAlignment="1" applyProtection="1">
      <alignment horizontal="left" vertical="center" wrapText="1" indent="2"/>
    </xf>
    <xf numFmtId="0" fontId="22" fillId="3" borderId="16" xfId="1" applyNumberFormat="1" applyFont="1" applyFill="1" applyBorder="1" applyAlignment="1" applyProtection="1">
      <alignment horizontal="left" vertical="center" wrapText="1" indent="2"/>
    </xf>
    <xf numFmtId="0" fontId="22" fillId="3" borderId="17" xfId="1" applyNumberFormat="1" applyFont="1" applyFill="1" applyBorder="1" applyAlignment="1" applyProtection="1">
      <alignment horizontal="left" vertical="center" wrapText="1" indent="2"/>
    </xf>
    <xf numFmtId="0" fontId="23" fillId="3" borderId="16" xfId="1" applyNumberFormat="1" applyFont="1" applyFill="1" applyBorder="1" applyAlignment="1" applyProtection="1">
      <alignment horizontal="left" vertical="center" wrapText="1" indent="2"/>
    </xf>
    <xf numFmtId="0" fontId="23" fillId="3" borderId="17" xfId="1" applyNumberFormat="1" applyFont="1" applyFill="1" applyBorder="1" applyAlignment="1" applyProtection="1">
      <alignment horizontal="left" vertical="center" wrapText="1" indent="2"/>
    </xf>
    <xf numFmtId="0" fontId="9" fillId="6" borderId="1" xfId="0" applyFont="1" applyFill="1" applyBorder="1" applyAlignment="1">
      <alignment horizontal="left" vertical="center" wrapText="1" indent="1"/>
    </xf>
    <xf numFmtId="0" fontId="15" fillId="5" borderId="1" xfId="0" applyFont="1" applyFill="1" applyBorder="1" applyAlignment="1">
      <alignment horizontal="left" vertical="center" wrapText="1" indent="1"/>
    </xf>
    <xf numFmtId="0" fontId="4" fillId="5" borderId="16" xfId="1" applyNumberFormat="1" applyFont="1" applyFill="1" applyBorder="1" applyAlignment="1" applyProtection="1">
      <alignment horizontal="left" vertical="center" wrapText="1" indent="1"/>
    </xf>
    <xf numFmtId="0" fontId="4" fillId="5" borderId="17" xfId="1" applyNumberFormat="1" applyFont="1" applyFill="1" applyBorder="1" applyAlignment="1" applyProtection="1">
      <alignment horizontal="left" vertical="center" wrapText="1" indent="1"/>
    </xf>
    <xf numFmtId="0" fontId="4" fillId="3" borderId="16" xfId="1" applyNumberFormat="1" applyFont="1" applyFill="1" applyBorder="1" applyAlignment="1" applyProtection="1">
      <alignment horizontal="left" vertical="center" wrapText="1" indent="2"/>
    </xf>
    <xf numFmtId="0" fontId="4" fillId="3" borderId="18" xfId="1" applyNumberFormat="1" applyFont="1" applyFill="1" applyBorder="1" applyAlignment="1" applyProtection="1">
      <alignment horizontal="left" vertical="center" wrapText="1" indent="2"/>
    </xf>
    <xf numFmtId="0" fontId="4" fillId="3" borderId="17" xfId="1" applyNumberFormat="1" applyFont="1" applyFill="1" applyBorder="1" applyAlignment="1" applyProtection="1">
      <alignment horizontal="left" vertical="center" wrapText="1" indent="2"/>
    </xf>
    <xf numFmtId="0" fontId="27" fillId="0" borderId="15" xfId="0" applyFont="1" applyBorder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15" xfId="0" applyFont="1" applyBorder="1" applyAlignment="1">
      <alignment vertical="center"/>
    </xf>
    <xf numFmtId="0" fontId="27" fillId="0" borderId="0" xfId="0" applyFont="1" applyAlignment="1">
      <alignment vertical="center"/>
    </xf>
    <xf numFmtId="1" fontId="24" fillId="3" borderId="15" xfId="0" applyNumberFormat="1" applyFont="1" applyFill="1" applyBorder="1" applyAlignment="1">
      <alignment horizontal="left" vertical="center" wrapText="1" indent="1"/>
    </xf>
    <xf numFmtId="0" fontId="24" fillId="3" borderId="0" xfId="0" applyFont="1" applyFill="1" applyAlignment="1">
      <alignment horizontal="left" vertical="center" wrapText="1" indent="1"/>
    </xf>
    <xf numFmtId="9" fontId="25" fillId="3" borderId="6" xfId="1" applyFont="1" applyFill="1" applyBorder="1" applyAlignment="1">
      <alignment horizontal="center" vertical="top"/>
    </xf>
    <xf numFmtId="9" fontId="25" fillId="3" borderId="7" xfId="1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left" vertical="center" wrapText="1" indent="1"/>
    </xf>
    <xf numFmtId="0" fontId="4" fillId="5" borderId="8" xfId="0" applyFont="1" applyFill="1" applyBorder="1" applyAlignment="1">
      <alignment horizontal="left" vertical="center" wrapText="1" indent="1"/>
    </xf>
    <xf numFmtId="0" fontId="4" fillId="5" borderId="7" xfId="0" applyFont="1" applyFill="1" applyBorder="1" applyAlignment="1">
      <alignment horizontal="left" vertical="center" wrapText="1" indent="1"/>
    </xf>
  </cellXfs>
  <cellStyles count="2">
    <cellStyle name="Normal" xfId="0" builtinId="0"/>
    <cellStyle name="Porcentagem" xfId="1" builtinId="5"/>
  </cellStyles>
  <dxfs count="62">
    <dxf>
      <font>
        <b val="0"/>
        <i val="0"/>
        <color rgb="FF9C6500"/>
      </font>
      <fill>
        <patternFill>
          <bgColor rgb="FFFFEB9C"/>
        </patternFill>
      </fill>
    </dxf>
    <dxf>
      <font>
        <b val="0"/>
        <i val="0"/>
        <color rgb="FF9C0006"/>
      </font>
      <fill>
        <patternFill>
          <bgColor rgb="FFFFC7CE"/>
        </patternFill>
      </fill>
    </dxf>
    <dxf>
      <font>
        <b val="0"/>
        <i val="0"/>
        <color rgb="FF006100"/>
      </font>
      <fill>
        <patternFill>
          <bgColor rgb="FFC6EFCE"/>
        </patternFill>
      </fill>
    </dxf>
    <dxf>
      <font>
        <b val="0"/>
        <i val="0"/>
        <color rgb="FF9C6500"/>
      </font>
      <fill>
        <patternFill>
          <bgColor rgb="FFFFEB9C"/>
        </patternFill>
      </fill>
    </dxf>
    <dxf>
      <font>
        <b val="0"/>
        <i val="0"/>
        <color rgb="FF9C0006"/>
      </font>
      <fill>
        <patternFill>
          <bgColor rgb="FFFFC7CE"/>
        </patternFill>
      </fill>
    </dxf>
    <dxf>
      <font>
        <b val="0"/>
        <i val="0"/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3" tint="0.79998168889431442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663300"/>
      </font>
      <fill>
        <patternFill>
          <bgColor rgb="FFFF9966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003300"/>
      </font>
      <fill>
        <patternFill>
          <bgColor rgb="FF99CC99"/>
        </patternFill>
      </fill>
    </dxf>
    <dxf>
      <font>
        <color rgb="FF003333"/>
      </font>
      <fill>
        <patternFill>
          <bgColor rgb="FF99CCCC"/>
        </patternFill>
      </fill>
    </dxf>
    <dxf>
      <font>
        <color rgb="FF330000"/>
      </font>
      <fill>
        <patternFill>
          <bgColor rgb="FFFF6666"/>
        </patternFill>
      </fill>
    </dxf>
    <dxf>
      <font>
        <color rgb="FF663300"/>
      </font>
      <fill>
        <patternFill>
          <bgColor rgb="FFFF9966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195533F-1A79-4B08-91C1-E72AC22867BF}">
      <tableStyleElement type="wholeTable" dxfId="61"/>
      <tableStyleElement type="headerRow" dxfId="60"/>
    </tableStyle>
  </tableStyles>
  <colors>
    <mruColors>
      <color rgb="FF000099"/>
      <color rgb="FFF2F2F2"/>
      <color rgb="FF6699CC"/>
      <color rgb="FFFF9900"/>
      <color rgb="FFCC0000"/>
      <color rgb="FF333333"/>
      <color rgb="FF767171"/>
      <color rgb="FF336699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Gráfico!$B$10:$B$13</c:f>
              <c:strCache>
                <c:ptCount val="4"/>
                <c:pt idx="0">
                  <c:v>Políticos</c:v>
                </c:pt>
                <c:pt idx="1">
                  <c:v>Econômicos</c:v>
                </c:pt>
                <c:pt idx="2">
                  <c:v>Sociais</c:v>
                </c:pt>
                <c:pt idx="3">
                  <c:v>Tecnológicos</c:v>
                </c:pt>
              </c:strCache>
            </c:strRef>
          </c:cat>
          <c:val>
            <c:numRef>
              <c:f>Gráfico!$C$10:$C$13</c:f>
              <c:numCache>
                <c:formatCode>0</c:formatCode>
                <c:ptCount val="4"/>
                <c:pt idx="0">
                  <c:v>370</c:v>
                </c:pt>
                <c:pt idx="1">
                  <c:v>267</c:v>
                </c:pt>
                <c:pt idx="2">
                  <c:v>329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5-44F4-AD8D-256CBA3F8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1476368"/>
        <c:axId val="-337428464"/>
      </c:radarChart>
      <c:catAx>
        <c:axId val="-13147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37428464"/>
        <c:crosses val="autoZero"/>
        <c:auto val="1"/>
        <c:lblAlgn val="ctr"/>
        <c:lblOffset val="100"/>
        <c:noMultiLvlLbl val="0"/>
      </c:catAx>
      <c:valAx>
        <c:axId val="-33742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147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850427350427301E-2"/>
          <c:y val="5.1771173747276703E-2"/>
          <c:w val="0.94029914529914504"/>
          <c:h val="0.8399240876906319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6-3552-4F18-AB60-7EE2FEEBC05E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'Análise do Planejamento'!$Q$6:$Q$10</c:f>
              <c:strCache>
                <c:ptCount val="5"/>
                <c:pt idx="0">
                  <c:v>Aguardando</c:v>
                </c:pt>
                <c:pt idx="1">
                  <c:v>Adiantado</c:v>
                </c:pt>
                <c:pt idx="2">
                  <c:v>Em andamento</c:v>
                </c:pt>
                <c:pt idx="3">
                  <c:v>Concluído</c:v>
                </c:pt>
                <c:pt idx="4">
                  <c:v>Atrasado</c:v>
                </c:pt>
              </c:strCache>
            </c:strRef>
          </c:cat>
          <c:val>
            <c:numRef>
              <c:f>'Análise do Planejamento'!$R$6:$R$10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2-4F18-AB60-7EE2FEEBC0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-131384576"/>
        <c:axId val="-131382800"/>
      </c:barChart>
      <c:catAx>
        <c:axId val="-13138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1382800"/>
        <c:crosses val="autoZero"/>
        <c:auto val="1"/>
        <c:lblAlgn val="ctr"/>
        <c:lblOffset val="100"/>
        <c:noMultiLvlLbl val="0"/>
      </c:catAx>
      <c:valAx>
        <c:axId val="-131382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31384576"/>
        <c:crosses val="autoZero"/>
        <c:crossBetween val="between"/>
      </c:valAx>
      <c:spPr>
        <a:solidFill>
          <a:schemeClr val="bg1"/>
        </a:solidFill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4-B261-4AF9-B3C2-CCB84340B92E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'Análise do Planejamento'!$Q$2:$Q$3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'Análise do Planejamento'!$R$2:$R$3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1-4AF9-B3C2-CCB84340B9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-131378368"/>
        <c:axId val="-131246512"/>
      </c:barChart>
      <c:catAx>
        <c:axId val="-13137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31246512"/>
        <c:crosses val="autoZero"/>
        <c:auto val="1"/>
        <c:lblAlgn val="ctr"/>
        <c:lblOffset val="100"/>
        <c:noMultiLvlLbl val="0"/>
      </c:catAx>
      <c:valAx>
        <c:axId val="-1312465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31378368"/>
        <c:crosses val="autoZero"/>
        <c:crossBetween val="between"/>
      </c:valAx>
      <c:spPr>
        <a:solidFill>
          <a:schemeClr val="bg1"/>
        </a:solidFill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Resumo!$B$24:$B$27</c:f>
              <c:strCache>
                <c:ptCount val="4"/>
                <c:pt idx="0">
                  <c:v>Políticos</c:v>
                </c:pt>
                <c:pt idx="1">
                  <c:v>Econômicos</c:v>
                </c:pt>
                <c:pt idx="2">
                  <c:v>Sociais</c:v>
                </c:pt>
                <c:pt idx="3">
                  <c:v>Tecnológicos</c:v>
                </c:pt>
              </c:strCache>
            </c:strRef>
          </c:cat>
          <c:val>
            <c:numRef>
              <c:f>Resumo!$C$24:$C$27</c:f>
              <c:numCache>
                <c:formatCode>0</c:formatCode>
                <c:ptCount val="4"/>
                <c:pt idx="0">
                  <c:v>370</c:v>
                </c:pt>
                <c:pt idx="1">
                  <c:v>267</c:v>
                </c:pt>
                <c:pt idx="2">
                  <c:v>329</c:v>
                </c:pt>
                <c:pt idx="3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7-4037-BE18-6EB41500CA09}"/>
            </c:ext>
          </c:extLst>
        </c:ser>
        <c:ser>
          <c:idx val="1"/>
          <c:order val="1"/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Resumo!$B$24:$B$27</c:f>
              <c:strCache>
                <c:ptCount val="4"/>
                <c:pt idx="0">
                  <c:v>Políticos</c:v>
                </c:pt>
                <c:pt idx="1">
                  <c:v>Econômicos</c:v>
                </c:pt>
                <c:pt idx="2">
                  <c:v>Sociais</c:v>
                </c:pt>
                <c:pt idx="3">
                  <c:v>Tecnológicos</c:v>
                </c:pt>
              </c:strCache>
            </c:strRef>
          </c:cat>
          <c:val>
            <c:numRef>
              <c:f>Resumo!$D$24:$D$27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F2D7-4037-BE18-6EB41500CA09}"/>
            </c:ext>
          </c:extLst>
        </c:ser>
        <c:ser>
          <c:idx val="2"/>
          <c:order val="2"/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Resumo!$B$24:$B$27</c:f>
              <c:strCache>
                <c:ptCount val="4"/>
                <c:pt idx="0">
                  <c:v>Políticos</c:v>
                </c:pt>
                <c:pt idx="1">
                  <c:v>Econômicos</c:v>
                </c:pt>
                <c:pt idx="2">
                  <c:v>Sociais</c:v>
                </c:pt>
                <c:pt idx="3">
                  <c:v>Tecnológicos</c:v>
                </c:pt>
              </c:strCache>
            </c:strRef>
          </c:cat>
          <c:val>
            <c:numRef>
              <c:f>Resumo!$E$24:$E$27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F2D7-4037-BE18-6EB41500CA09}"/>
            </c:ext>
          </c:extLst>
        </c:ser>
        <c:ser>
          <c:idx val="3"/>
          <c:order val="3"/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Resumo!$B$24:$B$27</c:f>
              <c:strCache>
                <c:ptCount val="4"/>
                <c:pt idx="0">
                  <c:v>Políticos</c:v>
                </c:pt>
                <c:pt idx="1">
                  <c:v>Econômicos</c:v>
                </c:pt>
                <c:pt idx="2">
                  <c:v>Sociais</c:v>
                </c:pt>
                <c:pt idx="3">
                  <c:v>Tecnológicos</c:v>
                </c:pt>
              </c:strCache>
            </c:strRef>
          </c:cat>
          <c:val>
            <c:numRef>
              <c:f>Resumo!$F$24:$F$27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F2D7-4037-BE18-6EB41500CA09}"/>
            </c:ext>
          </c:extLst>
        </c:ser>
        <c:ser>
          <c:idx val="4"/>
          <c:order val="4"/>
          <c:spPr>
            <a:solidFill>
              <a:schemeClr val="accent5"/>
            </a:solidFill>
            <a:ln w="25400">
              <a:noFill/>
            </a:ln>
            <a:effectLst/>
          </c:spPr>
          <c:cat>
            <c:strRef>
              <c:f>Resumo!$B$24:$B$27</c:f>
              <c:strCache>
                <c:ptCount val="4"/>
                <c:pt idx="0">
                  <c:v>Políticos</c:v>
                </c:pt>
                <c:pt idx="1">
                  <c:v>Econômicos</c:v>
                </c:pt>
                <c:pt idx="2">
                  <c:v>Sociais</c:v>
                </c:pt>
                <c:pt idx="3">
                  <c:v>Tecnológicos</c:v>
                </c:pt>
              </c:strCache>
            </c:strRef>
          </c:cat>
          <c:val>
            <c:numRef>
              <c:f>Resumo!$G$24:$G$27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4-F2D7-4037-BE18-6EB41500C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26475616"/>
        <c:axId val="-338143680"/>
      </c:radarChart>
      <c:catAx>
        <c:axId val="-22647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338143680"/>
        <c:crosses val="autoZero"/>
        <c:auto val="1"/>
        <c:lblAlgn val="ctr"/>
        <c:lblOffset val="100"/>
        <c:noMultiLvlLbl val="0"/>
      </c:catAx>
      <c:valAx>
        <c:axId val="-3381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2647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9850427350427301E-2"/>
          <c:y val="5.1771173747276703E-2"/>
          <c:w val="0.94029914529914504"/>
          <c:h val="0.8399240876906319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4"/>
            <c:invertIfNegative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1-A3B3-4893-B889-CC7282E92F50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'Análise do Planejamento'!$Q$6:$Q$10</c:f>
              <c:strCache>
                <c:ptCount val="5"/>
                <c:pt idx="0">
                  <c:v>Aguardando</c:v>
                </c:pt>
                <c:pt idx="1">
                  <c:v>Adiantado</c:v>
                </c:pt>
                <c:pt idx="2">
                  <c:v>Em andamento</c:v>
                </c:pt>
                <c:pt idx="3">
                  <c:v>Concluído</c:v>
                </c:pt>
                <c:pt idx="4">
                  <c:v>Atrasado</c:v>
                </c:pt>
              </c:strCache>
            </c:strRef>
          </c:cat>
          <c:val>
            <c:numRef>
              <c:f>'Análise do Planejamento'!$R$6:$R$10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3-4893-B889-CC7282E92F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-222198752"/>
        <c:axId val="-221589392"/>
      </c:barChart>
      <c:catAx>
        <c:axId val="-2221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221589392"/>
        <c:crosses val="autoZero"/>
        <c:auto val="1"/>
        <c:lblAlgn val="ctr"/>
        <c:lblOffset val="100"/>
        <c:noMultiLvlLbl val="0"/>
      </c:catAx>
      <c:valAx>
        <c:axId val="-2215893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222198752"/>
        <c:crosses val="autoZero"/>
        <c:crossBetween val="between"/>
      </c:valAx>
      <c:spPr>
        <a:solidFill>
          <a:schemeClr val="bg1"/>
        </a:solidFill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2E84-4643-B444-CC92FC0AEBC7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'Análise do Planejamento'!$Q$2:$Q$3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'Análise do Planejamento'!$R$2:$R$3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84-4643-B444-CC92FC0AE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-184712032"/>
        <c:axId val="-184711504"/>
      </c:barChart>
      <c:catAx>
        <c:axId val="-18471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184711504"/>
        <c:crosses val="autoZero"/>
        <c:auto val="1"/>
        <c:lblAlgn val="ctr"/>
        <c:lblOffset val="100"/>
        <c:noMultiLvlLbl val="0"/>
      </c:catAx>
      <c:valAx>
        <c:axId val="-1847115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-184712032"/>
        <c:crosses val="autoZero"/>
        <c:crossBetween val="between"/>
      </c:valAx>
      <c:spPr>
        <a:solidFill>
          <a:schemeClr val="bg1"/>
        </a:solidFill>
        <a:ln w="25400">
          <a:noFill/>
        </a:ln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lanejamento!A1"/><Relationship Id="rId3" Type="http://schemas.openxmlformats.org/officeDocument/2006/relationships/hyperlink" Target="#'Fator Pol&#237;tico'!A1"/><Relationship Id="rId7" Type="http://schemas.openxmlformats.org/officeDocument/2006/relationships/hyperlink" Target="#Matriz!B1"/><Relationship Id="rId2" Type="http://schemas.openxmlformats.org/officeDocument/2006/relationships/hyperlink" Target="#L&#237;deres!A1"/><Relationship Id="rId1" Type="http://schemas.openxmlformats.org/officeDocument/2006/relationships/hyperlink" Target="#Setores!A1"/><Relationship Id="rId6" Type="http://schemas.openxmlformats.org/officeDocument/2006/relationships/hyperlink" Target="#'Fator Tecnol&#243;gico'!A1"/><Relationship Id="rId11" Type="http://schemas.openxmlformats.org/officeDocument/2006/relationships/hyperlink" Target="#Resumo!A1"/><Relationship Id="rId5" Type="http://schemas.openxmlformats.org/officeDocument/2006/relationships/hyperlink" Target="#'Fator Social'!A1"/><Relationship Id="rId10" Type="http://schemas.openxmlformats.org/officeDocument/2006/relationships/hyperlink" Target="#'An&#225;lise do Planejamento'!A1"/><Relationship Id="rId4" Type="http://schemas.openxmlformats.org/officeDocument/2006/relationships/hyperlink" Target="#'Fator Econ&#244;mico'!A1"/><Relationship Id="rId9" Type="http://schemas.openxmlformats.org/officeDocument/2006/relationships/hyperlink" Target="#Gr&#225;fic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MENU!A1"/><Relationship Id="rId1" Type="http://schemas.openxmlformats.org/officeDocument/2006/relationships/chart" Target="../charts/chart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MENU!A1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</xdr:row>
      <xdr:rowOff>81643</xdr:rowOff>
    </xdr:from>
    <xdr:to>
      <xdr:col>2</xdr:col>
      <xdr:colOff>593424</xdr:colOff>
      <xdr:row>3</xdr:row>
      <xdr:rowOff>384628</xdr:rowOff>
    </xdr:to>
    <xdr:sp macro="" textlink="">
      <xdr:nvSpPr>
        <xdr:cNvPr id="23" name="Retângulo: Cantos Arredondado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E209E-9D42-46BE-9277-7363F42D6401}"/>
            </a:ext>
          </a:extLst>
        </xdr:cNvPr>
        <xdr:cNvSpPr/>
      </xdr:nvSpPr>
      <xdr:spPr>
        <a:xfrm>
          <a:off x="258536" y="1401536"/>
          <a:ext cx="1328209" cy="302985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</a:rPr>
            <a:t>SETORES</a:t>
          </a:r>
        </a:p>
      </xdr:txBody>
    </xdr:sp>
    <xdr:clientData/>
  </xdr:twoCellAnchor>
  <xdr:twoCellAnchor editAs="absolute">
    <xdr:from>
      <xdr:col>2</xdr:col>
      <xdr:colOff>624115</xdr:colOff>
      <xdr:row>3</xdr:row>
      <xdr:rowOff>81643</xdr:rowOff>
    </xdr:from>
    <xdr:to>
      <xdr:col>3</xdr:col>
      <xdr:colOff>625173</xdr:colOff>
      <xdr:row>3</xdr:row>
      <xdr:rowOff>384628</xdr:rowOff>
    </xdr:to>
    <xdr:sp macro="" textlink="">
      <xdr:nvSpPr>
        <xdr:cNvPr id="25" name="Retângulo: Cantos Arredondados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C5C99F-8A2D-4B25-9E35-4B4200687F90}"/>
            </a:ext>
          </a:extLst>
        </xdr:cNvPr>
        <xdr:cNvSpPr/>
      </xdr:nvSpPr>
      <xdr:spPr>
        <a:xfrm>
          <a:off x="1617436" y="1401536"/>
          <a:ext cx="1048808" cy="302985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LÍDERES</a:t>
          </a:r>
        </a:p>
      </xdr:txBody>
    </xdr:sp>
    <xdr:clientData/>
  </xdr:twoCellAnchor>
  <xdr:twoCellAnchor editAs="absolute">
    <xdr:from>
      <xdr:col>1</xdr:col>
      <xdr:colOff>0</xdr:colOff>
      <xdr:row>5</xdr:row>
      <xdr:rowOff>68036</xdr:rowOff>
    </xdr:from>
    <xdr:to>
      <xdr:col>2</xdr:col>
      <xdr:colOff>735242</xdr:colOff>
      <xdr:row>5</xdr:row>
      <xdr:rowOff>371021</xdr:rowOff>
    </xdr:to>
    <xdr:sp macro="" textlink="">
      <xdr:nvSpPr>
        <xdr:cNvPr id="27" name="Retângulo: Cantos Arredondados 2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3405A7B-3D12-4AFA-83EA-09E9E36CD9F7}"/>
            </a:ext>
          </a:extLst>
        </xdr:cNvPr>
        <xdr:cNvSpPr/>
      </xdr:nvSpPr>
      <xdr:spPr>
        <a:xfrm>
          <a:off x="254000" y="2274661"/>
          <a:ext cx="1465492" cy="302985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solidFill>
                <a:schemeClr val="bg1"/>
              </a:solidFill>
            </a:rPr>
            <a:t>FATOR POLÍTICO</a:t>
          </a:r>
        </a:p>
      </xdr:txBody>
    </xdr:sp>
    <xdr:clientData/>
  </xdr:twoCellAnchor>
  <xdr:twoCellAnchor editAs="absolute">
    <xdr:from>
      <xdr:col>2</xdr:col>
      <xdr:colOff>782860</xdr:colOff>
      <xdr:row>5</xdr:row>
      <xdr:rowOff>68036</xdr:rowOff>
    </xdr:from>
    <xdr:to>
      <xdr:col>3</xdr:col>
      <xdr:colOff>1205135</xdr:colOff>
      <xdr:row>5</xdr:row>
      <xdr:rowOff>371021</xdr:rowOff>
    </xdr:to>
    <xdr:sp macro="" textlink="">
      <xdr:nvSpPr>
        <xdr:cNvPr id="29" name="Retângulo: Cantos Arredondados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8804A0A-1ABE-4221-A4DC-AF43785E8EA8}"/>
            </a:ext>
          </a:extLst>
        </xdr:cNvPr>
        <xdr:cNvSpPr/>
      </xdr:nvSpPr>
      <xdr:spPr>
        <a:xfrm>
          <a:off x="1767110" y="2274661"/>
          <a:ext cx="1470025" cy="302985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FATOR ECONÔMICO</a:t>
          </a:r>
        </a:p>
      </xdr:txBody>
    </xdr:sp>
    <xdr:clientData/>
  </xdr:twoCellAnchor>
  <xdr:twoCellAnchor editAs="absolute">
    <xdr:from>
      <xdr:col>3</xdr:col>
      <xdr:colOff>1242175</xdr:colOff>
      <xdr:row>5</xdr:row>
      <xdr:rowOff>68036</xdr:rowOff>
    </xdr:from>
    <xdr:to>
      <xdr:col>3</xdr:col>
      <xdr:colOff>2720884</xdr:colOff>
      <xdr:row>5</xdr:row>
      <xdr:rowOff>371021</xdr:rowOff>
    </xdr:to>
    <xdr:sp macro="" textlink="">
      <xdr:nvSpPr>
        <xdr:cNvPr id="31" name="Retângulo: Cantos Arredondados 3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E0B6FDE-A96B-4B09-B5E9-3F3A719A7521}"/>
            </a:ext>
          </a:extLst>
        </xdr:cNvPr>
        <xdr:cNvSpPr/>
      </xdr:nvSpPr>
      <xdr:spPr>
        <a:xfrm>
          <a:off x="3274175" y="2274661"/>
          <a:ext cx="1478709" cy="302985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FATOR SOCIAL</a:t>
          </a:r>
        </a:p>
      </xdr:txBody>
    </xdr:sp>
    <xdr:clientData/>
  </xdr:twoCellAnchor>
  <xdr:twoCellAnchor editAs="absolute">
    <xdr:from>
      <xdr:col>3</xdr:col>
      <xdr:colOff>2754983</xdr:colOff>
      <xdr:row>5</xdr:row>
      <xdr:rowOff>68036</xdr:rowOff>
    </xdr:from>
    <xdr:to>
      <xdr:col>5</xdr:col>
      <xdr:colOff>235091</xdr:colOff>
      <xdr:row>5</xdr:row>
      <xdr:rowOff>371021</xdr:rowOff>
    </xdr:to>
    <xdr:sp macro="" textlink="">
      <xdr:nvSpPr>
        <xdr:cNvPr id="33" name="Retângulo: Cantos Arredondados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128EC48-B199-4FCF-B6B1-70046247E074}"/>
            </a:ext>
          </a:extLst>
        </xdr:cNvPr>
        <xdr:cNvSpPr/>
      </xdr:nvSpPr>
      <xdr:spPr>
        <a:xfrm>
          <a:off x="4786983" y="2274661"/>
          <a:ext cx="1464733" cy="302985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FATOR TECNOLÓGICO</a:t>
          </a:r>
        </a:p>
      </xdr:txBody>
    </xdr:sp>
    <xdr:clientData/>
  </xdr:twoCellAnchor>
  <xdr:twoCellAnchor editAs="absolute">
    <xdr:from>
      <xdr:col>1</xdr:col>
      <xdr:colOff>13607</xdr:colOff>
      <xdr:row>7</xdr:row>
      <xdr:rowOff>70303</xdr:rowOff>
    </xdr:from>
    <xdr:to>
      <xdr:col>3</xdr:col>
      <xdr:colOff>81643</xdr:colOff>
      <xdr:row>7</xdr:row>
      <xdr:rowOff>324303</xdr:rowOff>
    </xdr:to>
    <xdr:sp macro="" textlink="">
      <xdr:nvSpPr>
        <xdr:cNvPr id="34" name="Retângulo: Cantos Arredondados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EF6B8A-6E1A-4B3D-9887-6864C10AB972}"/>
            </a:ext>
          </a:extLst>
        </xdr:cNvPr>
        <xdr:cNvSpPr/>
      </xdr:nvSpPr>
      <xdr:spPr>
        <a:xfrm>
          <a:off x="267607" y="3118303"/>
          <a:ext cx="1846036" cy="254000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ctr"/>
          <a:r>
            <a:rPr lang="pt-BR" sz="1100">
              <a:solidFill>
                <a:schemeClr val="bg1"/>
              </a:solidFill>
            </a:rPr>
            <a:t>Matriz PEST</a:t>
          </a:r>
        </a:p>
      </xdr:txBody>
    </xdr:sp>
    <xdr:clientData/>
  </xdr:twoCellAnchor>
  <xdr:twoCellAnchor editAs="absolute">
    <xdr:from>
      <xdr:col>1</xdr:col>
      <xdr:colOff>0</xdr:colOff>
      <xdr:row>9</xdr:row>
      <xdr:rowOff>65767</xdr:rowOff>
    </xdr:from>
    <xdr:to>
      <xdr:col>3</xdr:col>
      <xdr:colOff>68036</xdr:colOff>
      <xdr:row>9</xdr:row>
      <xdr:rowOff>319767</xdr:rowOff>
    </xdr:to>
    <xdr:sp macro="" textlink="">
      <xdr:nvSpPr>
        <xdr:cNvPr id="35" name="Retângulo: Cantos Arredondados 3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8FC422E-BBF0-45D8-810D-BCA1E2426025}"/>
            </a:ext>
          </a:extLst>
        </xdr:cNvPr>
        <xdr:cNvSpPr/>
      </xdr:nvSpPr>
      <xdr:spPr>
        <a:xfrm>
          <a:off x="254000" y="4002767"/>
          <a:ext cx="1846036" cy="254000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ctr"/>
          <a:r>
            <a:rPr lang="pt-BR" sz="1100">
              <a:solidFill>
                <a:schemeClr val="bg1"/>
              </a:solidFill>
            </a:rPr>
            <a:t>ATIVIDADES</a:t>
          </a:r>
        </a:p>
      </xdr:txBody>
    </xdr:sp>
    <xdr:clientData/>
  </xdr:twoCellAnchor>
  <xdr:twoCellAnchor editAs="absolute">
    <xdr:from>
      <xdr:col>1</xdr:col>
      <xdr:colOff>13607</xdr:colOff>
      <xdr:row>11</xdr:row>
      <xdr:rowOff>83911</xdr:rowOff>
    </xdr:from>
    <xdr:to>
      <xdr:col>3</xdr:col>
      <xdr:colOff>81643</xdr:colOff>
      <xdr:row>11</xdr:row>
      <xdr:rowOff>337911</xdr:rowOff>
    </xdr:to>
    <xdr:sp macro="" textlink="">
      <xdr:nvSpPr>
        <xdr:cNvPr id="36" name="Retângulo: Cantos Arredondados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EA9445-552A-47AE-B0AB-FA8752BC36EB}"/>
            </a:ext>
          </a:extLst>
        </xdr:cNvPr>
        <xdr:cNvSpPr/>
      </xdr:nvSpPr>
      <xdr:spPr>
        <a:xfrm>
          <a:off x="267607" y="4814661"/>
          <a:ext cx="1846036" cy="254000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ctr"/>
          <a:r>
            <a:rPr lang="pt-BR" sz="1100">
              <a:solidFill>
                <a:schemeClr val="bg1"/>
              </a:solidFill>
            </a:rPr>
            <a:t>GRÁFICO PEST</a:t>
          </a:r>
        </a:p>
      </xdr:txBody>
    </xdr:sp>
    <xdr:clientData/>
  </xdr:twoCellAnchor>
  <xdr:twoCellAnchor editAs="absolute">
    <xdr:from>
      <xdr:col>1</xdr:col>
      <xdr:colOff>0</xdr:colOff>
      <xdr:row>13</xdr:row>
      <xdr:rowOff>68036</xdr:rowOff>
    </xdr:from>
    <xdr:to>
      <xdr:col>3</xdr:col>
      <xdr:colOff>666750</xdr:colOff>
      <xdr:row>13</xdr:row>
      <xdr:rowOff>353786</xdr:rowOff>
    </xdr:to>
    <xdr:sp macro="" textlink="">
      <xdr:nvSpPr>
        <xdr:cNvPr id="37" name="Retângulo: Cantos Arredondados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751032F-AF1F-4F4A-8B38-7D5DBAD9ADB3}"/>
            </a:ext>
          </a:extLst>
        </xdr:cNvPr>
        <xdr:cNvSpPr/>
      </xdr:nvSpPr>
      <xdr:spPr>
        <a:xfrm>
          <a:off x="254000" y="5640161"/>
          <a:ext cx="2444750" cy="285750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ctr"/>
          <a:r>
            <a:rPr lang="pt-BR" sz="1100">
              <a:solidFill>
                <a:schemeClr val="bg1"/>
              </a:solidFill>
            </a:rPr>
            <a:t>ANÁLISE DO PLANEJAMENTO</a:t>
          </a:r>
        </a:p>
      </xdr:txBody>
    </xdr:sp>
    <xdr:clientData/>
  </xdr:twoCellAnchor>
  <xdr:twoCellAnchor editAs="absolute">
    <xdr:from>
      <xdr:col>1</xdr:col>
      <xdr:colOff>0</xdr:colOff>
      <xdr:row>15</xdr:row>
      <xdr:rowOff>68036</xdr:rowOff>
    </xdr:from>
    <xdr:to>
      <xdr:col>3</xdr:col>
      <xdr:colOff>68036</xdr:colOff>
      <xdr:row>15</xdr:row>
      <xdr:rowOff>325060</xdr:rowOff>
    </xdr:to>
    <xdr:sp macro="" textlink="">
      <xdr:nvSpPr>
        <xdr:cNvPr id="38" name="Retângulo: Cantos Arredondados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3CAAD86-0DCC-4E10-A2F7-28A810DAA111}"/>
            </a:ext>
          </a:extLst>
        </xdr:cNvPr>
        <xdr:cNvSpPr/>
      </xdr:nvSpPr>
      <xdr:spPr>
        <a:xfrm>
          <a:off x="254000" y="6481536"/>
          <a:ext cx="1846036" cy="257024"/>
        </a:xfrm>
        <a:prstGeom prst="roundRect">
          <a:avLst/>
        </a:prstGeom>
        <a:solidFill>
          <a:srgbClr val="002060"/>
        </a:soli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indent="0" algn="ctr"/>
          <a:r>
            <a:rPr lang="pt-BR" sz="1100">
              <a:solidFill>
                <a:schemeClr val="bg1"/>
              </a:solidFill>
            </a:rPr>
            <a:t>RESUMO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819164</xdr:colOff>
      <xdr:row>1</xdr:row>
      <xdr:rowOff>66675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E9D99A-0661-4356-BBFA-76FF3D8207B3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819164</xdr:colOff>
      <xdr:row>0</xdr:row>
      <xdr:rowOff>257175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9B837-2E41-4F66-8969-5C274DAFF665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937092</xdr:colOff>
      <xdr:row>0</xdr:row>
      <xdr:rowOff>257175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17F425-3EFD-4291-A4A5-D750075F4E1D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819164</xdr:colOff>
      <xdr:row>0</xdr:row>
      <xdr:rowOff>257175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60593-38C7-4DEA-9A6D-B0873B4644AD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918949</xdr:colOff>
      <xdr:row>0</xdr:row>
      <xdr:rowOff>257175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21C4D4-1F28-4841-93A9-4869ECB03A92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819164</xdr:colOff>
      <xdr:row>0</xdr:row>
      <xdr:rowOff>257175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58FC7-38F3-4105-B29C-BC33FB7D76EB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547021</xdr:colOff>
      <xdr:row>0</xdr:row>
      <xdr:rowOff>257175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49D321-495B-4EA8-808F-B69B707B5797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819164</xdr:colOff>
      <xdr:row>0</xdr:row>
      <xdr:rowOff>257175</xdr:rowOff>
    </xdr:to>
    <xdr:sp macro="" textlink="">
      <xdr:nvSpPr>
        <xdr:cNvPr id="2" name="Seta: Pentágon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124632-FBB8-4321-9D07-AB600BC2F0A7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207281</xdr:colOff>
      <xdr:row>1</xdr:row>
      <xdr:rowOff>15119</xdr:rowOff>
    </xdr:from>
    <xdr:to>
      <xdr:col>6</xdr:col>
      <xdr:colOff>612321</xdr:colOff>
      <xdr:row>7</xdr:row>
      <xdr:rowOff>13607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819164</xdr:colOff>
      <xdr:row>0</xdr:row>
      <xdr:rowOff>257175</xdr:rowOff>
    </xdr:to>
    <xdr:sp macro="" textlink="">
      <xdr:nvSpPr>
        <xdr:cNvPr id="3" name="Seta: Pentágon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122817-2EC4-423D-91E8-AC9F96EC8280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27213</xdr:colOff>
      <xdr:row>6</xdr:row>
      <xdr:rowOff>81645</xdr:rowOff>
    </xdr:from>
    <xdr:to>
      <xdr:col>3</xdr:col>
      <xdr:colOff>966107</xdr:colOff>
      <xdr:row>14</xdr:row>
      <xdr:rowOff>93709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1292678</xdr:colOff>
      <xdr:row>6</xdr:row>
      <xdr:rowOff>81644</xdr:rowOff>
    </xdr:from>
    <xdr:to>
      <xdr:col>7</xdr:col>
      <xdr:colOff>0</xdr:colOff>
      <xdr:row>14</xdr:row>
      <xdr:rowOff>93708</xdr:rowOff>
    </xdr:to>
    <xdr:graphicFrame macro="">
      <xdr:nvGraphicFramePr>
        <xdr:cNvPr id="20" name="Gráfico 18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819164</xdr:colOff>
      <xdr:row>0</xdr:row>
      <xdr:rowOff>257175</xdr:rowOff>
    </xdr:to>
    <xdr:sp macro="" textlink="">
      <xdr:nvSpPr>
        <xdr:cNvPr id="4" name="Seta: Pentágon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57BDDE-AA5C-47A2-953B-696368F1E87C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23</xdr:row>
      <xdr:rowOff>0</xdr:rowOff>
    </xdr:from>
    <xdr:to>
      <xdr:col>13</xdr:col>
      <xdr:colOff>391584</xdr:colOff>
      <xdr:row>27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95250</xdr:colOff>
      <xdr:row>46</xdr:row>
      <xdr:rowOff>149679</xdr:rowOff>
    </xdr:from>
    <xdr:to>
      <xdr:col>8</xdr:col>
      <xdr:colOff>1148190</xdr:colOff>
      <xdr:row>54</xdr:row>
      <xdr:rowOff>7529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625928</xdr:colOff>
      <xdr:row>46</xdr:row>
      <xdr:rowOff>149679</xdr:rowOff>
    </xdr:from>
    <xdr:to>
      <xdr:col>16</xdr:col>
      <xdr:colOff>319667</xdr:colOff>
      <xdr:row>54</xdr:row>
      <xdr:rowOff>7529</xdr:rowOff>
    </xdr:to>
    <xdr:graphicFrame macro="">
      <xdr:nvGraphicFramePr>
        <xdr:cNvPr id="20" name="Gráfico 18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819164</xdr:colOff>
      <xdr:row>0</xdr:row>
      <xdr:rowOff>257175</xdr:rowOff>
    </xdr:to>
    <xdr:sp macro="" textlink="">
      <xdr:nvSpPr>
        <xdr:cNvPr id="5" name="Seta: Pentágon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B29BB1-416E-4E52-A6CA-2172B17657FB}"/>
            </a:ext>
          </a:extLst>
        </xdr:cNvPr>
        <xdr:cNvSpPr>
          <a:spLocks/>
        </xdr:cNvSpPr>
      </xdr:nvSpPr>
      <xdr:spPr>
        <a:xfrm flipH="1">
          <a:off x="0" y="0"/>
          <a:ext cx="1077700" cy="257175"/>
        </a:xfrm>
        <a:prstGeom prst="homePlat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bg1"/>
              </a:solidFill>
              <a:latin typeface="+mn-lt"/>
              <a:ea typeface="+mn-ea"/>
              <a:cs typeface="+mn-cs"/>
            </a:rPr>
            <a:t>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B1:K100"/>
  <sheetViews>
    <sheetView showGridLines="0" topLeftCell="A3" zoomScale="60" zoomScaleNormal="60" workbookViewId="0">
      <selection activeCell="E15" sqref="E15:K15"/>
    </sheetView>
  </sheetViews>
  <sheetFormatPr defaultColWidth="8.81640625" defaultRowHeight="14.5" zeroHeight="1" x14ac:dyDescent="0.35"/>
  <cols>
    <col min="1" max="1" width="3.81640625" style="50" customWidth="1"/>
    <col min="2" max="2" width="11" style="50" customWidth="1"/>
    <col min="3" max="3" width="15.7265625" style="52" customWidth="1"/>
    <col min="4" max="4" width="44.08984375" style="50" customWidth="1"/>
    <col min="5" max="8" width="15.7265625" style="50" customWidth="1"/>
    <col min="9" max="9" width="33.6328125" style="50" customWidth="1"/>
    <col min="10" max="10" width="15.7265625" style="50" customWidth="1"/>
    <col min="11" max="11" width="42" style="50" customWidth="1"/>
    <col min="12" max="12" width="15.7265625" style="50" customWidth="1"/>
    <col min="13" max="16384" width="8.81640625" style="50"/>
  </cols>
  <sheetData>
    <row r="1" spans="2:11" ht="34" customHeight="1" x14ac:dyDescent="0.35">
      <c r="B1" s="91" t="s">
        <v>68</v>
      </c>
      <c r="C1" s="91"/>
      <c r="D1" s="91"/>
      <c r="E1" s="91"/>
      <c r="F1" s="91"/>
      <c r="G1" s="91"/>
      <c r="H1" s="91"/>
    </row>
    <row r="2" spans="2:11" ht="39.75" customHeight="1" x14ac:dyDescent="0.35">
      <c r="B2" s="91"/>
      <c r="C2" s="91"/>
      <c r="D2" s="91"/>
      <c r="E2" s="91"/>
      <c r="F2" s="91"/>
      <c r="G2" s="91"/>
      <c r="H2" s="91"/>
    </row>
    <row r="3" spans="2:11" ht="30" customHeight="1" x14ac:dyDescent="0.35">
      <c r="B3" s="69" t="s">
        <v>61</v>
      </c>
      <c r="C3" s="70" t="s">
        <v>74</v>
      </c>
      <c r="D3" s="71"/>
      <c r="E3" s="92" t="s">
        <v>69</v>
      </c>
      <c r="F3" s="92"/>
      <c r="G3" s="92"/>
      <c r="H3" s="92"/>
      <c r="I3" s="92"/>
      <c r="J3" s="92"/>
      <c r="K3" s="92"/>
    </row>
    <row r="4" spans="2:11" ht="40.5" customHeight="1" x14ac:dyDescent="0.35">
      <c r="B4" s="93"/>
      <c r="C4" s="93"/>
      <c r="D4" s="93"/>
      <c r="E4" s="93"/>
      <c r="F4" s="93"/>
      <c r="G4" s="93"/>
      <c r="H4" s="93"/>
    </row>
    <row r="5" spans="2:11" ht="30" customHeight="1" x14ac:dyDescent="0.35">
      <c r="B5" s="69" t="s">
        <v>62</v>
      </c>
      <c r="C5" s="70" t="s">
        <v>75</v>
      </c>
      <c r="D5" s="72"/>
      <c r="E5" s="92" t="s">
        <v>70</v>
      </c>
      <c r="F5" s="92"/>
      <c r="G5" s="92"/>
      <c r="H5" s="92"/>
      <c r="I5" s="92"/>
      <c r="J5" s="92"/>
      <c r="K5" s="92"/>
    </row>
    <row r="6" spans="2:11" ht="36" customHeight="1" x14ac:dyDescent="0.35"/>
    <row r="7" spans="2:11" ht="30" customHeight="1" x14ac:dyDescent="0.35">
      <c r="B7" s="69" t="s">
        <v>63</v>
      </c>
      <c r="C7" s="70" t="s">
        <v>0</v>
      </c>
      <c r="D7" s="72"/>
      <c r="E7" s="92" t="s">
        <v>71</v>
      </c>
      <c r="F7" s="92"/>
      <c r="G7" s="92"/>
      <c r="H7" s="92"/>
      <c r="I7" s="92"/>
      <c r="J7" s="92"/>
      <c r="K7" s="92"/>
    </row>
    <row r="8" spans="2:11" ht="40.5" customHeight="1" x14ac:dyDescent="0.35"/>
    <row r="9" spans="2:11" ht="30" customHeight="1" x14ac:dyDescent="0.35">
      <c r="B9" s="69" t="s">
        <v>64</v>
      </c>
      <c r="C9" s="70" t="s">
        <v>73</v>
      </c>
      <c r="D9" s="72"/>
      <c r="E9" s="92" t="s">
        <v>72</v>
      </c>
      <c r="F9" s="92"/>
      <c r="G9" s="92"/>
      <c r="H9" s="92"/>
      <c r="I9" s="92"/>
      <c r="J9" s="92"/>
      <c r="K9" s="92"/>
    </row>
    <row r="10" spans="2:11" ht="32.25" customHeight="1" x14ac:dyDescent="0.35"/>
    <row r="11" spans="2:11" ht="30" customHeight="1" x14ac:dyDescent="0.35">
      <c r="B11" s="69" t="s">
        <v>65</v>
      </c>
      <c r="C11" s="70" t="s">
        <v>76</v>
      </c>
      <c r="D11" s="72"/>
      <c r="E11" s="92" t="s">
        <v>79</v>
      </c>
      <c r="F11" s="92"/>
      <c r="G11" s="92"/>
      <c r="H11" s="92"/>
      <c r="I11" s="92"/>
      <c r="J11" s="92"/>
      <c r="K11" s="92"/>
    </row>
    <row r="12" spans="2:11" ht="36.75" customHeight="1" x14ac:dyDescent="0.35">
      <c r="B12" s="93"/>
      <c r="C12" s="93"/>
      <c r="D12" s="93"/>
      <c r="E12" s="93"/>
      <c r="F12" s="93"/>
      <c r="G12" s="93"/>
      <c r="H12" s="93"/>
    </row>
    <row r="13" spans="2:11" ht="30" customHeight="1" x14ac:dyDescent="0.35">
      <c r="B13" s="69" t="s">
        <v>66</v>
      </c>
      <c r="C13" s="70" t="s">
        <v>77</v>
      </c>
      <c r="D13" s="72"/>
      <c r="E13" s="92" t="s">
        <v>80</v>
      </c>
      <c r="F13" s="92"/>
      <c r="G13" s="92"/>
      <c r="H13" s="92"/>
      <c r="I13" s="92"/>
      <c r="J13" s="92"/>
      <c r="K13" s="92"/>
    </row>
    <row r="14" spans="2:11" ht="36.75" customHeight="1" x14ac:dyDescent="0.35"/>
    <row r="15" spans="2:11" ht="30" customHeight="1" x14ac:dyDescent="0.35">
      <c r="B15" s="69" t="s">
        <v>67</v>
      </c>
      <c r="C15" s="70" t="s">
        <v>78</v>
      </c>
      <c r="D15" s="72"/>
      <c r="E15" s="92" t="s">
        <v>81</v>
      </c>
      <c r="F15" s="92"/>
      <c r="G15" s="92"/>
      <c r="H15" s="92"/>
      <c r="I15" s="92"/>
      <c r="J15" s="92"/>
      <c r="K15" s="92"/>
    </row>
    <row r="16" spans="2:11" ht="34.5" customHeight="1" x14ac:dyDescent="0.35"/>
    <row r="17" ht="30" customHeight="1" x14ac:dyDescent="0.35"/>
    <row r="18" ht="30" customHeight="1" x14ac:dyDescent="0.35"/>
    <row r="19" ht="30" customHeight="1" x14ac:dyDescent="0.35"/>
    <row r="20" ht="30" customHeight="1" x14ac:dyDescent="0.35"/>
    <row r="21" ht="30" customHeight="1" x14ac:dyDescent="0.35"/>
    <row r="22" ht="30" customHeight="1" x14ac:dyDescent="0.35"/>
    <row r="23" ht="30" customHeight="1" x14ac:dyDescent="0.35"/>
    <row r="24" ht="30" customHeight="1" x14ac:dyDescent="0.35"/>
    <row r="25" ht="30" customHeight="1" x14ac:dyDescent="0.35"/>
    <row r="26" ht="30" customHeight="1" x14ac:dyDescent="0.35"/>
    <row r="27" ht="30" customHeight="1" x14ac:dyDescent="0.35"/>
    <row r="28" ht="30" customHeight="1" x14ac:dyDescent="0.35"/>
    <row r="29" ht="30" customHeight="1" x14ac:dyDescent="0.35"/>
    <row r="30" ht="30" customHeight="1" x14ac:dyDescent="0.35"/>
    <row r="31" ht="30" customHeight="1" x14ac:dyDescent="0.35"/>
    <row r="32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</sheetData>
  <sheetProtection selectLockedCells="1"/>
  <mergeCells count="10">
    <mergeCell ref="B1:H2"/>
    <mergeCell ref="E15:K15"/>
    <mergeCell ref="E7:K7"/>
    <mergeCell ref="E9:K9"/>
    <mergeCell ref="E5:K5"/>
    <mergeCell ref="B4:H4"/>
    <mergeCell ref="B12:H12"/>
    <mergeCell ref="E13:K13"/>
    <mergeCell ref="E3:K3"/>
    <mergeCell ref="E11:K1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1:B101"/>
  <sheetViews>
    <sheetView showGridLines="0" zoomScale="70" zoomScaleNormal="70" workbookViewId="0">
      <selection activeCell="D17" sqref="D17"/>
    </sheetView>
  </sheetViews>
  <sheetFormatPr defaultColWidth="8.81640625" defaultRowHeight="14.5" zeroHeight="1" x14ac:dyDescent="0.35"/>
  <cols>
    <col min="1" max="1" width="3.81640625" customWidth="1"/>
    <col min="2" max="2" width="255.36328125" style="83" customWidth="1"/>
  </cols>
  <sheetData>
    <row r="1" spans="2:2" x14ac:dyDescent="0.35"/>
    <row r="2" spans="2:2" ht="30" customHeight="1" thickBot="1" x14ac:dyDescent="0.4"/>
    <row r="3" spans="2:2" ht="30" customHeight="1" thickTop="1" thickBot="1" x14ac:dyDescent="0.4">
      <c r="B3" s="54" t="s">
        <v>119</v>
      </c>
    </row>
    <row r="4" spans="2:2" ht="30" customHeight="1" thickTop="1" x14ac:dyDescent="0.35">
      <c r="B4" s="84" t="s">
        <v>82</v>
      </c>
    </row>
    <row r="5" spans="2:2" ht="30" customHeight="1" x14ac:dyDescent="0.35">
      <c r="B5" s="84" t="s">
        <v>83</v>
      </c>
    </row>
    <row r="6" spans="2:2" ht="30" customHeight="1" x14ac:dyDescent="0.35">
      <c r="B6" s="84" t="s">
        <v>84</v>
      </c>
    </row>
    <row r="7" spans="2:2" ht="30" customHeight="1" x14ac:dyDescent="0.35">
      <c r="B7" s="84" t="s">
        <v>85</v>
      </c>
    </row>
    <row r="8" spans="2:2" ht="30" customHeight="1" x14ac:dyDescent="0.35">
      <c r="B8" s="84" t="s">
        <v>86</v>
      </c>
    </row>
    <row r="9" spans="2:2" ht="30" customHeight="1" x14ac:dyDescent="0.35">
      <c r="B9" s="85"/>
    </row>
    <row r="10" spans="2:2" ht="30" customHeight="1" x14ac:dyDescent="0.35">
      <c r="B10" s="85"/>
    </row>
    <row r="11" spans="2:2" ht="30" customHeight="1" x14ac:dyDescent="0.35">
      <c r="B11" s="85"/>
    </row>
    <row r="12" spans="2:2" ht="30" customHeight="1" x14ac:dyDescent="0.35">
      <c r="B12" s="85"/>
    </row>
    <row r="13" spans="2:2" ht="30" customHeight="1" x14ac:dyDescent="0.35">
      <c r="B13" s="85"/>
    </row>
    <row r="14" spans="2:2" ht="30" customHeight="1" x14ac:dyDescent="0.35">
      <c r="B14" s="84"/>
    </row>
    <row r="15" spans="2:2" ht="30" customHeight="1" x14ac:dyDescent="0.35">
      <c r="B15" s="85"/>
    </row>
    <row r="16" spans="2:2" ht="30" customHeight="1" x14ac:dyDescent="0.35">
      <c r="B16" s="85"/>
    </row>
    <row r="17" spans="2:2" ht="30" customHeight="1" x14ac:dyDescent="0.35">
      <c r="B17" s="85"/>
    </row>
    <row r="18" spans="2:2" ht="30" customHeight="1" x14ac:dyDescent="0.35">
      <c r="B18" s="85"/>
    </row>
    <row r="19" spans="2:2" ht="30" customHeight="1" x14ac:dyDescent="0.35">
      <c r="B19" s="85"/>
    </row>
    <row r="20" spans="2:2" ht="30" customHeight="1" x14ac:dyDescent="0.35">
      <c r="B20" s="85"/>
    </row>
    <row r="21" spans="2:2" ht="30" customHeight="1" x14ac:dyDescent="0.35">
      <c r="B21" s="85"/>
    </row>
    <row r="22" spans="2:2" ht="30" customHeight="1" x14ac:dyDescent="0.35">
      <c r="B22" s="85"/>
    </row>
    <row r="23" spans="2:2" ht="30" customHeight="1" x14ac:dyDescent="0.35">
      <c r="B23" s="85"/>
    </row>
    <row r="24" spans="2:2" ht="30" customHeight="1" x14ac:dyDescent="0.35"/>
    <row r="25" spans="2:2" ht="30" customHeight="1" x14ac:dyDescent="0.35"/>
    <row r="26" spans="2:2" ht="30" customHeight="1" x14ac:dyDescent="0.35"/>
    <row r="27" spans="2:2" ht="30" customHeight="1" x14ac:dyDescent="0.35"/>
    <row r="28" spans="2:2" ht="30" customHeight="1" x14ac:dyDescent="0.35"/>
    <row r="29" spans="2:2" ht="30" customHeight="1" x14ac:dyDescent="0.35"/>
    <row r="30" spans="2:2" ht="30" customHeight="1" x14ac:dyDescent="0.35"/>
    <row r="31" spans="2:2" ht="30" customHeight="1" x14ac:dyDescent="0.35"/>
    <row r="32" spans="2:2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  <row r="98" x14ac:dyDescent="0.35"/>
    <row r="99" x14ac:dyDescent="0.35"/>
    <row r="100" x14ac:dyDescent="0.35"/>
    <row r="101" x14ac:dyDescent="0.35"/>
  </sheetData>
  <sheetProtection formatCells="0" formatColumns="0" formatRows="0" selectLockedCells="1" autoFilter="0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2"/>
  <dimension ref="B1:C97"/>
  <sheetViews>
    <sheetView showGridLines="0" zoomScale="70" zoomScaleNormal="70" workbookViewId="0">
      <selection activeCell="B16" sqref="B16"/>
    </sheetView>
  </sheetViews>
  <sheetFormatPr defaultColWidth="8.81640625" defaultRowHeight="0" customHeight="1" zeroHeight="1" x14ac:dyDescent="0.35"/>
  <cols>
    <col min="1" max="1" width="3.81640625" customWidth="1"/>
    <col min="2" max="2" width="135.08984375" customWidth="1"/>
    <col min="3" max="3" width="126.08984375" customWidth="1"/>
  </cols>
  <sheetData>
    <row r="1" spans="2:3" s="73" customFormat="1" ht="21.65" customHeight="1" x14ac:dyDescent="0.35"/>
    <row r="2" spans="2:3" s="73" customFormat="1" ht="30" customHeight="1" thickBot="1" x14ac:dyDescent="0.4">
      <c r="C2" s="74" t="s">
        <v>59</v>
      </c>
    </row>
    <row r="3" spans="2:3" ht="30" customHeight="1" thickTop="1" thickBot="1" x14ac:dyDescent="0.4">
      <c r="B3" s="51" t="s">
        <v>118</v>
      </c>
      <c r="C3" s="51" t="s">
        <v>113</v>
      </c>
    </row>
    <row r="4" spans="2:3" ht="30" customHeight="1" thickTop="1" x14ac:dyDescent="0.35">
      <c r="B4" s="82" t="s">
        <v>87</v>
      </c>
      <c r="C4" s="3" t="s">
        <v>82</v>
      </c>
    </row>
    <row r="5" spans="2:3" ht="30" customHeight="1" x14ac:dyDescent="0.35">
      <c r="B5" s="82" t="s">
        <v>88</v>
      </c>
      <c r="C5" s="3" t="s">
        <v>83</v>
      </c>
    </row>
    <row r="6" spans="2:3" ht="30" customHeight="1" x14ac:dyDescent="0.35">
      <c r="B6" s="82" t="s">
        <v>89</v>
      </c>
      <c r="C6" s="3" t="s">
        <v>83</v>
      </c>
    </row>
    <row r="7" spans="2:3" ht="30" customHeight="1" x14ac:dyDescent="0.35">
      <c r="B7" s="82" t="s">
        <v>90</v>
      </c>
      <c r="C7" s="3" t="s">
        <v>84</v>
      </c>
    </row>
    <row r="8" spans="2:3" ht="30" customHeight="1" x14ac:dyDescent="0.35">
      <c r="B8" s="82" t="s">
        <v>91</v>
      </c>
      <c r="C8" s="3" t="s">
        <v>85</v>
      </c>
    </row>
    <row r="9" spans="2:3" ht="30" customHeight="1" x14ac:dyDescent="0.35">
      <c r="B9" s="82" t="s">
        <v>92</v>
      </c>
      <c r="C9" s="3" t="s">
        <v>86</v>
      </c>
    </row>
    <row r="10" spans="2:3" ht="30" customHeight="1" x14ac:dyDescent="0.35">
      <c r="B10" s="3"/>
      <c r="C10" s="3"/>
    </row>
    <row r="11" spans="2:3" ht="30" customHeight="1" x14ac:dyDescent="0.35">
      <c r="B11" s="3"/>
      <c r="C11" s="3"/>
    </row>
    <row r="12" spans="2:3" ht="30" customHeight="1" x14ac:dyDescent="0.35">
      <c r="B12" s="3"/>
      <c r="C12" s="3"/>
    </row>
    <row r="13" spans="2:3" ht="30" customHeight="1" x14ac:dyDescent="0.35">
      <c r="B13" s="3"/>
      <c r="C13" s="3"/>
    </row>
    <row r="14" spans="2:3" ht="30" customHeight="1" x14ac:dyDescent="0.35">
      <c r="B14" s="3"/>
      <c r="C14" s="3"/>
    </row>
    <row r="15" spans="2:3" ht="30" customHeight="1" x14ac:dyDescent="0.35">
      <c r="B15" s="3"/>
      <c r="C15" s="3"/>
    </row>
    <row r="16" spans="2:3" ht="30" customHeight="1" x14ac:dyDescent="0.35">
      <c r="B16" s="3"/>
      <c r="C16" s="3"/>
    </row>
    <row r="17" spans="2:3" ht="30" customHeight="1" x14ac:dyDescent="0.35">
      <c r="B17" s="3"/>
      <c r="C17" s="3"/>
    </row>
    <row r="18" spans="2:3" ht="30" customHeight="1" x14ac:dyDescent="0.35">
      <c r="B18" s="3"/>
      <c r="C18" s="3"/>
    </row>
    <row r="19" spans="2:3" ht="30" customHeight="1" x14ac:dyDescent="0.35">
      <c r="B19" s="3"/>
      <c r="C19" s="3"/>
    </row>
    <row r="20" spans="2:3" ht="30" customHeight="1" x14ac:dyDescent="0.35">
      <c r="B20" s="3"/>
      <c r="C20" s="3"/>
    </row>
    <row r="21" spans="2:3" ht="30" customHeight="1" x14ac:dyDescent="0.35">
      <c r="B21" s="3"/>
      <c r="C21" s="3"/>
    </row>
    <row r="22" spans="2:3" ht="30" customHeight="1" x14ac:dyDescent="0.35">
      <c r="B22" s="3"/>
      <c r="C22" s="3"/>
    </row>
    <row r="23" spans="2:3" ht="30" customHeight="1" x14ac:dyDescent="0.35">
      <c r="B23" s="3"/>
      <c r="C23" s="3"/>
    </row>
    <row r="24" spans="2:3" ht="30" customHeight="1" x14ac:dyDescent="0.35">
      <c r="B24" s="3"/>
      <c r="C24" s="3"/>
    </row>
    <row r="25" spans="2:3" ht="30" customHeight="1" x14ac:dyDescent="0.35">
      <c r="B25" s="3"/>
      <c r="C25" s="3"/>
    </row>
    <row r="26" spans="2:3" ht="30" customHeight="1" x14ac:dyDescent="0.35">
      <c r="B26" s="3"/>
      <c r="C26" s="3"/>
    </row>
    <row r="27" spans="2:3" ht="30" customHeight="1" x14ac:dyDescent="0.35">
      <c r="B27" s="3"/>
      <c r="C27" s="3"/>
    </row>
    <row r="28" spans="2:3" ht="30" customHeight="1" x14ac:dyDescent="0.35">
      <c r="B28" s="3"/>
      <c r="C28" s="3"/>
    </row>
    <row r="29" spans="2:3" ht="30" customHeight="1" x14ac:dyDescent="0.35">
      <c r="B29" s="3"/>
      <c r="C29" s="3"/>
    </row>
    <row r="30" spans="2:3" ht="30" customHeight="1" x14ac:dyDescent="0.35">
      <c r="B30" s="3"/>
      <c r="C30" s="3"/>
    </row>
    <row r="31" spans="2:3" ht="30" customHeight="1" x14ac:dyDescent="0.35">
      <c r="B31" s="3"/>
      <c r="C31" s="3"/>
    </row>
    <row r="32" spans="2:3" ht="30" customHeight="1" x14ac:dyDescent="0.35">
      <c r="B32" s="3"/>
      <c r="C32" s="3"/>
    </row>
    <row r="33" spans="2:3" ht="30" customHeight="1" x14ac:dyDescent="0.35">
      <c r="B33" s="3"/>
      <c r="C33" s="3"/>
    </row>
    <row r="34" spans="2:3" ht="30" customHeight="1" x14ac:dyDescent="0.35">
      <c r="B34" s="3"/>
      <c r="C34" s="3"/>
    </row>
    <row r="35" spans="2:3" ht="30" customHeight="1" x14ac:dyDescent="0.35">
      <c r="B35" s="3"/>
      <c r="C35" s="3"/>
    </row>
    <row r="36" spans="2:3" ht="30" customHeight="1" x14ac:dyDescent="0.35">
      <c r="B36" s="3"/>
      <c r="C36" s="3"/>
    </row>
    <row r="37" spans="2:3" ht="30" customHeight="1" x14ac:dyDescent="0.35">
      <c r="B37" s="3"/>
      <c r="C37" s="3"/>
    </row>
    <row r="38" spans="2:3" ht="30" customHeight="1" x14ac:dyDescent="0.35">
      <c r="B38" s="3"/>
      <c r="C38" s="3"/>
    </row>
    <row r="39" spans="2:3" ht="30" customHeight="1" x14ac:dyDescent="0.35">
      <c r="B39" s="3"/>
      <c r="C39" s="3"/>
    </row>
    <row r="40" spans="2:3" ht="30" customHeight="1" x14ac:dyDescent="0.35">
      <c r="B40" s="3"/>
      <c r="C40" s="3"/>
    </row>
    <row r="41" spans="2:3" ht="30" customHeight="1" x14ac:dyDescent="0.35">
      <c r="B41" s="3"/>
      <c r="C41" s="3"/>
    </row>
    <row r="42" spans="2:3" ht="30" customHeight="1" x14ac:dyDescent="0.35">
      <c r="B42" s="3"/>
      <c r="C42" s="3"/>
    </row>
    <row r="43" spans="2:3" ht="30" customHeight="1" x14ac:dyDescent="0.35">
      <c r="B43" s="3"/>
      <c r="C43" s="3"/>
    </row>
    <row r="44" spans="2:3" ht="30" customHeight="1" x14ac:dyDescent="0.35">
      <c r="B44" s="3"/>
      <c r="C44" s="3"/>
    </row>
    <row r="45" spans="2:3" ht="30" customHeight="1" x14ac:dyDescent="0.35">
      <c r="B45" s="3"/>
      <c r="C45" s="3"/>
    </row>
    <row r="46" spans="2:3" ht="30" customHeight="1" x14ac:dyDescent="0.35">
      <c r="B46" s="3"/>
      <c r="C46" s="3"/>
    </row>
    <row r="47" spans="2:3" ht="30" customHeight="1" x14ac:dyDescent="0.35">
      <c r="B47" s="3"/>
      <c r="C47" s="3"/>
    </row>
    <row r="48" spans="2:3" ht="30" customHeight="1" x14ac:dyDescent="0.35">
      <c r="B48" s="3"/>
      <c r="C48" s="3"/>
    </row>
    <row r="49" spans="2:3" ht="30" customHeight="1" x14ac:dyDescent="0.35">
      <c r="B49" s="3"/>
      <c r="C49" s="3"/>
    </row>
    <row r="50" spans="2:3" ht="30" customHeight="1" x14ac:dyDescent="0.35">
      <c r="B50" s="3"/>
      <c r="C50" s="3"/>
    </row>
    <row r="51" spans="2:3" ht="30" customHeight="1" x14ac:dyDescent="0.35">
      <c r="B51" s="3"/>
      <c r="C51" s="3"/>
    </row>
    <row r="52" spans="2:3" ht="30" customHeight="1" x14ac:dyDescent="0.35">
      <c r="B52" s="3"/>
      <c r="C52" s="3"/>
    </row>
    <row r="53" spans="2:3" ht="30" customHeight="1" x14ac:dyDescent="0.35">
      <c r="B53" s="3"/>
      <c r="C53" s="3"/>
    </row>
    <row r="54" spans="2:3" ht="30" customHeight="1" x14ac:dyDescent="0.35"/>
    <row r="55" spans="2:3" ht="30" customHeight="1" x14ac:dyDescent="0.35"/>
    <row r="56" spans="2:3" ht="30" customHeight="1" x14ac:dyDescent="0.35"/>
    <row r="57" spans="2:3" ht="30" customHeight="1" x14ac:dyDescent="0.35"/>
    <row r="58" spans="2:3" ht="30" customHeight="1" x14ac:dyDescent="0.35"/>
    <row r="59" spans="2:3" ht="30" customHeight="1" x14ac:dyDescent="0.35"/>
    <row r="60" spans="2:3" ht="30" customHeight="1" x14ac:dyDescent="0.35"/>
    <row r="61" spans="2:3" ht="30" customHeight="1" x14ac:dyDescent="0.35"/>
    <row r="62" spans="2:3" ht="30" customHeight="1" x14ac:dyDescent="0.35"/>
    <row r="63" spans="2:3" ht="30" customHeight="1" x14ac:dyDescent="0.35"/>
    <row r="64" spans="2:3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</sheetData>
  <sheetProtection formatCells="0" formatColumns="0" formatRows="0" selectLockedCells="1" autoFilter="0"/>
  <phoneticPr fontId="29" type="noConversion"/>
  <dataValidations count="1">
    <dataValidation type="list" allowBlank="1" showInputMessage="1" showErrorMessage="1" sqref="C4:C53" xr:uid="{00000000-0002-0000-0200-000000000000}">
      <formula1>INDIRECT($C$2)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AI100"/>
  <sheetViews>
    <sheetView showGridLines="0" tabSelected="1" topLeftCell="A13" zoomScale="70" zoomScaleNormal="70" workbookViewId="0">
      <selection activeCell="C23" sqref="C19:C23"/>
    </sheetView>
  </sheetViews>
  <sheetFormatPr defaultColWidth="8.81640625" defaultRowHeight="14.5" zeroHeight="1" x14ac:dyDescent="0.35"/>
  <cols>
    <col min="1" max="1" width="2.08984375" customWidth="1"/>
    <col min="2" max="2" width="63.7265625" customWidth="1"/>
    <col min="3" max="6" width="41.26953125" customWidth="1"/>
    <col min="7" max="7" width="8.81640625" style="4"/>
    <col min="8" max="35" width="8.81640625" style="1"/>
  </cols>
  <sheetData>
    <row r="1" spans="1:35" s="73" customFormat="1" ht="21.65" customHeight="1" x14ac:dyDescent="0.35">
      <c r="G1" s="75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</row>
    <row r="2" spans="1:35" s="73" customFormat="1" ht="21.65" customHeight="1" x14ac:dyDescent="0.35">
      <c r="G2" s="75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</row>
    <row r="3" spans="1:35" ht="30" customHeight="1" thickBot="1" x14ac:dyDescent="0.4"/>
    <row r="4" spans="1:35" ht="30" customHeight="1" thickTop="1" thickBot="1" x14ac:dyDescent="0.4">
      <c r="A4">
        <f ca="1">A2:A4</f>
        <v>0</v>
      </c>
      <c r="B4" s="51" t="s">
        <v>117</v>
      </c>
      <c r="C4" s="53" t="s">
        <v>1</v>
      </c>
      <c r="D4" s="53" t="s">
        <v>2</v>
      </c>
      <c r="E4" s="53" t="s">
        <v>3</v>
      </c>
      <c r="F4" s="54" t="s">
        <v>4</v>
      </c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>
        <v>1</v>
      </c>
      <c r="U4" s="6">
        <v>1</v>
      </c>
      <c r="V4" s="6">
        <v>2</v>
      </c>
      <c r="W4" s="6">
        <v>2</v>
      </c>
      <c r="X4" s="6">
        <v>2</v>
      </c>
      <c r="Y4" s="6">
        <v>2</v>
      </c>
    </row>
    <row r="5" spans="1:35" ht="44.5" customHeight="1" thickTop="1" thickBot="1" x14ac:dyDescent="0.4">
      <c r="A5" s="90"/>
      <c r="B5" s="86" t="s">
        <v>120</v>
      </c>
      <c r="C5" s="7" t="s">
        <v>5</v>
      </c>
      <c r="D5" s="7" t="s">
        <v>6</v>
      </c>
      <c r="E5" s="48" t="s">
        <v>21</v>
      </c>
      <c r="F5" s="55">
        <f>IF(ISERROR(VLOOKUP(C5,$H$7:$I$11,2,FALSE)*VLOOKUP(D5,$H$15:$I$19,2,FALSE)*VLOOKUP(E5,$H$23:$I$27,2,FALSE)),"",VLOOKUP(C5,$H$7:$I$11,2,FALSE)*VLOOKUP(D5,$H$15:$I$19,2,FALSE)*VLOOKUP(E5,$H$23:$I$27,2,FALSE))</f>
        <v>125</v>
      </c>
      <c r="H5" s="1" t="s">
        <v>1</v>
      </c>
      <c r="K5" s="1">
        <v>2.0000000000000001E-4</v>
      </c>
      <c r="L5" s="1">
        <f>IF(F5="","",F5+K5)</f>
        <v>125.00020000000001</v>
      </c>
      <c r="M5" s="1" t="str">
        <f>IF(B5=0,"",B5)</f>
        <v>Avanço da regulamentação da Inteligência Artificial no Brasil</v>
      </c>
      <c r="N5" s="44">
        <f>F5</f>
        <v>125</v>
      </c>
      <c r="O5" s="42"/>
    </row>
    <row r="6" spans="1:35" ht="30" customHeight="1" thickTop="1" thickBot="1" x14ac:dyDescent="0.4">
      <c r="A6" s="88"/>
      <c r="B6" s="86" t="s">
        <v>121</v>
      </c>
      <c r="C6" s="7" t="s">
        <v>5</v>
      </c>
      <c r="D6" s="7" t="s">
        <v>6</v>
      </c>
      <c r="E6" s="8" t="s">
        <v>19</v>
      </c>
      <c r="F6" s="55">
        <f t="shared" ref="F6:F24" si="0">IF(ISERROR(VLOOKUP(C6,$H$7:$I$11,2,FALSE)*VLOOKUP(D6,$H$15:$I$19,2,FALSE)*VLOOKUP(E6,$H$23:$I$27,2,FALSE)),"",VLOOKUP(C6,$H$7:$I$11,2,FALSE)*VLOOKUP(D6,$H$15:$I$19,2,FALSE)*VLOOKUP(E6,$H$23:$I$27,2,FALSE))</f>
        <v>75</v>
      </c>
      <c r="G6" s="10"/>
      <c r="H6" s="45"/>
      <c r="K6" s="1">
        <v>1.9000000000000001E-4</v>
      </c>
      <c r="L6" s="1">
        <f t="shared" ref="L6:L24" si="1">IF(F6="","",F6+K6)</f>
        <v>75.000190000000003</v>
      </c>
      <c r="M6" s="1" t="str">
        <f t="shared" ref="M6:M24" si="2">IF(B6=0,"",B6)</f>
        <v>Regulamentação e fiscalização da LGPD no uso de dados corporativos</v>
      </c>
      <c r="N6" s="44">
        <f t="shared" ref="N6:N24" si="3">F6</f>
        <v>75</v>
      </c>
      <c r="O6" s="42"/>
    </row>
    <row r="7" spans="1:35" ht="30" customHeight="1" thickTop="1" thickBot="1" x14ac:dyDescent="0.4">
      <c r="A7" s="89"/>
      <c r="B7" s="86" t="s">
        <v>122</v>
      </c>
      <c r="C7" s="7" t="s">
        <v>11</v>
      </c>
      <c r="D7" s="7" t="s">
        <v>13</v>
      </c>
      <c r="E7" s="8" t="s">
        <v>17</v>
      </c>
      <c r="F7" s="55">
        <f t="shared" si="0"/>
        <v>24</v>
      </c>
      <c r="G7" s="11"/>
      <c r="H7" s="1" t="s">
        <v>9</v>
      </c>
      <c r="I7" s="45">
        <v>1</v>
      </c>
      <c r="K7" s="1">
        <v>1.8000000000000001E-4</v>
      </c>
      <c r="L7" s="1">
        <f t="shared" si="1"/>
        <v>24.00018</v>
      </c>
      <c r="M7" s="1" t="str">
        <f t="shared" si="2"/>
        <v>Marcos regulatórios e de compliance no setor financeiro</v>
      </c>
      <c r="N7" s="44">
        <f t="shared" si="3"/>
        <v>24</v>
      </c>
      <c r="O7" s="42"/>
    </row>
    <row r="8" spans="1:35" ht="30" customHeight="1" thickTop="1" thickBot="1" x14ac:dyDescent="0.4">
      <c r="A8" s="88"/>
      <c r="B8" s="86" t="s">
        <v>123</v>
      </c>
      <c r="C8" s="7" t="s">
        <v>11</v>
      </c>
      <c r="D8" s="7" t="s">
        <v>13</v>
      </c>
      <c r="E8" s="8" t="s">
        <v>20</v>
      </c>
      <c r="F8" s="55">
        <f t="shared" si="0"/>
        <v>48</v>
      </c>
      <c r="H8" s="1" t="s">
        <v>10</v>
      </c>
      <c r="I8" s="45">
        <v>2</v>
      </c>
      <c r="K8" s="1">
        <v>1.7000000000000001E-4</v>
      </c>
      <c r="L8" s="1">
        <f t="shared" si="1"/>
        <v>48.000169999999997</v>
      </c>
      <c r="M8" s="1" t="str">
        <f t="shared" si="2"/>
        <v>Tributação sobre serviços de tecnologia e computação em nuvem</v>
      </c>
      <c r="N8" s="44">
        <f t="shared" si="3"/>
        <v>48</v>
      </c>
      <c r="O8" s="42"/>
    </row>
    <row r="9" spans="1:35" ht="30" customHeight="1" thickTop="1" thickBot="1" x14ac:dyDescent="0.4">
      <c r="A9" s="88"/>
      <c r="B9" s="86" t="s">
        <v>124</v>
      </c>
      <c r="C9" s="7" t="s">
        <v>11</v>
      </c>
      <c r="D9" s="7" t="s">
        <v>14</v>
      </c>
      <c r="E9" s="8" t="s">
        <v>21</v>
      </c>
      <c r="F9" s="55">
        <f t="shared" si="0"/>
        <v>45</v>
      </c>
      <c r="H9" s="1" t="s">
        <v>11</v>
      </c>
      <c r="I9" s="45">
        <v>3</v>
      </c>
      <c r="K9" s="1">
        <v>1.6000000000000001E-4</v>
      </c>
      <c r="L9" s="1">
        <f t="shared" si="1"/>
        <v>45.000160000000001</v>
      </c>
      <c r="M9" s="1" t="str">
        <f t="shared" si="2"/>
        <v>Regras sobre transferência internacional de dados (Cloud)</v>
      </c>
      <c r="N9" s="44">
        <f t="shared" si="3"/>
        <v>45</v>
      </c>
      <c r="O9" s="42"/>
    </row>
    <row r="10" spans="1:35" ht="30" customHeight="1" thickTop="1" thickBot="1" x14ac:dyDescent="0.4">
      <c r="A10" s="88"/>
      <c r="B10" s="86" t="s">
        <v>125</v>
      </c>
      <c r="C10" s="7" t="s">
        <v>11</v>
      </c>
      <c r="D10" s="7" t="s">
        <v>14</v>
      </c>
      <c r="E10" s="8" t="s">
        <v>17</v>
      </c>
      <c r="F10" s="55">
        <f t="shared" si="0"/>
        <v>18</v>
      </c>
      <c r="H10" s="1" t="s">
        <v>12</v>
      </c>
      <c r="I10" s="45">
        <v>4</v>
      </c>
      <c r="K10" s="1">
        <v>1.4999999999999999E-4</v>
      </c>
      <c r="L10" s="1">
        <f t="shared" si="1"/>
        <v>18.000150000000001</v>
      </c>
      <c r="M10" s="1" t="str">
        <f t="shared" si="2"/>
        <v>Políticas de incentivo governamental à inovação e IA</v>
      </c>
      <c r="N10" s="44">
        <f t="shared" si="3"/>
        <v>18</v>
      </c>
      <c r="O10" s="42"/>
    </row>
    <row r="11" spans="1:35" ht="30" customHeight="1" thickTop="1" thickBot="1" x14ac:dyDescent="0.4">
      <c r="A11" s="88"/>
      <c r="B11" s="86" t="s">
        <v>126</v>
      </c>
      <c r="C11" s="7" t="s">
        <v>9</v>
      </c>
      <c r="D11" s="7" t="s">
        <v>14</v>
      </c>
      <c r="E11" s="8" t="s">
        <v>19</v>
      </c>
      <c r="F11" s="55">
        <f t="shared" si="0"/>
        <v>9</v>
      </c>
      <c r="H11" s="1" t="s">
        <v>5</v>
      </c>
      <c r="I11" s="45">
        <v>5</v>
      </c>
      <c r="K11" s="1">
        <v>1.3999999999999999E-4</v>
      </c>
      <c r="L11" s="1">
        <f t="shared" si="1"/>
        <v>9.00014</v>
      </c>
      <c r="M11" s="1" t="str">
        <f t="shared" si="2"/>
        <v>Leis trabalhistas e regulamentação de profissionais de TI (CLT vs. PJ)</v>
      </c>
      <c r="N11" s="44">
        <f t="shared" si="3"/>
        <v>9</v>
      </c>
      <c r="O11" s="42"/>
    </row>
    <row r="12" spans="1:35" ht="30" customHeight="1" thickTop="1" thickBot="1" x14ac:dyDescent="0.4">
      <c r="A12" s="88"/>
      <c r="B12" s="86" t="s">
        <v>127</v>
      </c>
      <c r="C12" s="7" t="s">
        <v>9</v>
      </c>
      <c r="D12" s="7" t="s">
        <v>15</v>
      </c>
      <c r="E12" s="8" t="s">
        <v>20</v>
      </c>
      <c r="F12" s="55">
        <f t="shared" si="0"/>
        <v>8</v>
      </c>
      <c r="K12" s="1">
        <v>1.2999999999999999E-4</v>
      </c>
      <c r="L12" s="1">
        <f t="shared" si="1"/>
        <v>8.0001300000000004</v>
      </c>
      <c r="M12" s="1" t="str">
        <f t="shared" si="2"/>
        <v>Direitos autorais e Propriedade Intelectual em conteúdos gerados por IA</v>
      </c>
      <c r="N12" s="44">
        <f t="shared" si="3"/>
        <v>8</v>
      </c>
      <c r="O12" s="42"/>
    </row>
    <row r="13" spans="1:35" ht="30" customHeight="1" thickTop="1" thickBot="1" x14ac:dyDescent="0.4">
      <c r="A13" s="88"/>
      <c r="B13" s="86" t="s">
        <v>128</v>
      </c>
      <c r="C13" s="7" t="s">
        <v>10</v>
      </c>
      <c r="D13" s="7" t="s">
        <v>15</v>
      </c>
      <c r="E13" s="48" t="s">
        <v>19</v>
      </c>
      <c r="F13" s="55">
        <f t="shared" si="0"/>
        <v>12</v>
      </c>
      <c r="H13" s="1" t="s">
        <v>2</v>
      </c>
      <c r="K13" s="1">
        <v>1.2E-4</v>
      </c>
      <c r="L13" s="1">
        <f t="shared" si="1"/>
        <v>12.000120000000001</v>
      </c>
      <c r="M13" s="1" t="str">
        <f t="shared" si="2"/>
        <v>Políticas governamentais de compras de TI e licitações</v>
      </c>
      <c r="N13" s="44">
        <f t="shared" si="3"/>
        <v>12</v>
      </c>
      <c r="O13" s="42"/>
    </row>
    <row r="14" spans="1:35" ht="30" customHeight="1" thickTop="1" thickBot="1" x14ac:dyDescent="0.4">
      <c r="A14" s="87"/>
      <c r="B14" s="86" t="s">
        <v>129</v>
      </c>
      <c r="C14" s="7" t="s">
        <v>10</v>
      </c>
      <c r="D14" s="7" t="s">
        <v>16</v>
      </c>
      <c r="E14" s="8" t="s">
        <v>19</v>
      </c>
      <c r="F14" s="55">
        <f t="shared" si="0"/>
        <v>6</v>
      </c>
      <c r="H14" s="45"/>
      <c r="K14" s="1">
        <v>1.1E-4</v>
      </c>
      <c r="L14" s="1">
        <f t="shared" si="1"/>
        <v>6.0001100000000003</v>
      </c>
      <c r="M14" s="1" t="str">
        <f t="shared" si="2"/>
        <v>Regulamentação de soberania de dados nacionais</v>
      </c>
      <c r="N14" s="44">
        <f t="shared" si="3"/>
        <v>6</v>
      </c>
      <c r="O14" s="42"/>
    </row>
    <row r="15" spans="1:35" ht="30" customHeight="1" thickTop="1" thickBot="1" x14ac:dyDescent="0.4">
      <c r="B15" s="2"/>
      <c r="C15" s="7"/>
      <c r="D15" s="7"/>
      <c r="E15" s="8"/>
      <c r="F15" s="55" t="str">
        <f t="shared" si="0"/>
        <v/>
      </c>
      <c r="H15" s="1" t="s">
        <v>6</v>
      </c>
      <c r="I15" s="45">
        <v>5</v>
      </c>
      <c r="K15" s="1">
        <v>1E-4</v>
      </c>
      <c r="L15" s="1" t="str">
        <f t="shared" si="1"/>
        <v/>
      </c>
      <c r="M15" s="1" t="str">
        <f t="shared" si="2"/>
        <v/>
      </c>
      <c r="N15" s="44" t="str">
        <f t="shared" si="3"/>
        <v/>
      </c>
      <c r="O15" s="42"/>
    </row>
    <row r="16" spans="1:35" ht="30" customHeight="1" thickTop="1" thickBot="1" x14ac:dyDescent="0.4">
      <c r="B16" s="2"/>
      <c r="C16" s="7"/>
      <c r="D16" s="7"/>
      <c r="E16" s="8"/>
      <c r="F16" s="55" t="str">
        <f t="shared" si="0"/>
        <v/>
      </c>
      <c r="H16" s="1" t="s">
        <v>13</v>
      </c>
      <c r="I16" s="45">
        <v>4</v>
      </c>
      <c r="K16" s="1">
        <v>9.0000000000000006E-5</v>
      </c>
      <c r="L16" s="1" t="str">
        <f t="shared" si="1"/>
        <v/>
      </c>
      <c r="M16" s="1" t="str">
        <f t="shared" si="2"/>
        <v/>
      </c>
      <c r="N16" s="44" t="str">
        <f t="shared" si="3"/>
        <v/>
      </c>
      <c r="O16" s="42"/>
    </row>
    <row r="17" spans="2:15" ht="30" customHeight="1" thickTop="1" thickBot="1" x14ac:dyDescent="0.4">
      <c r="B17" s="2"/>
      <c r="C17" s="7"/>
      <c r="D17" s="7"/>
      <c r="E17" s="8"/>
      <c r="F17" s="55" t="str">
        <f t="shared" si="0"/>
        <v/>
      </c>
      <c r="H17" s="1" t="s">
        <v>14</v>
      </c>
      <c r="I17" s="45">
        <v>3</v>
      </c>
      <c r="K17" s="1">
        <v>8.0000000000000007E-5</v>
      </c>
      <c r="L17" s="1" t="str">
        <f t="shared" si="1"/>
        <v/>
      </c>
      <c r="M17" s="1" t="str">
        <f t="shared" si="2"/>
        <v/>
      </c>
      <c r="N17" s="44" t="str">
        <f t="shared" si="3"/>
        <v/>
      </c>
      <c r="O17" s="42"/>
    </row>
    <row r="18" spans="2:15" ht="30" customHeight="1" thickTop="1" thickBot="1" x14ac:dyDescent="0.4">
      <c r="B18" s="2"/>
      <c r="C18" s="7"/>
      <c r="D18" s="7"/>
      <c r="E18" s="8"/>
      <c r="F18" s="55" t="str">
        <f t="shared" si="0"/>
        <v/>
      </c>
      <c r="H18" s="1" t="s">
        <v>15</v>
      </c>
      <c r="I18" s="45">
        <v>2</v>
      </c>
      <c r="K18" s="1">
        <v>6.9999999999999994E-5</v>
      </c>
      <c r="L18" s="1" t="str">
        <f t="shared" si="1"/>
        <v/>
      </c>
      <c r="M18" s="1" t="str">
        <f t="shared" si="2"/>
        <v/>
      </c>
      <c r="N18" s="44" t="str">
        <f t="shared" si="3"/>
        <v/>
      </c>
      <c r="O18" s="42"/>
    </row>
    <row r="19" spans="2:15" ht="30" customHeight="1" thickTop="1" thickBot="1" x14ac:dyDescent="0.4">
      <c r="B19" s="2"/>
      <c r="C19" s="7"/>
      <c r="D19" s="7"/>
      <c r="E19" s="8"/>
      <c r="F19" s="55" t="str">
        <f t="shared" si="0"/>
        <v/>
      </c>
      <c r="H19" s="1" t="s">
        <v>16</v>
      </c>
      <c r="I19" s="45">
        <v>1</v>
      </c>
      <c r="K19" s="1">
        <v>6.0000000000000002E-5</v>
      </c>
      <c r="L19" s="1" t="str">
        <f t="shared" si="1"/>
        <v/>
      </c>
      <c r="M19" s="1" t="str">
        <f t="shared" si="2"/>
        <v/>
      </c>
      <c r="N19" s="44" t="str">
        <f t="shared" si="3"/>
        <v/>
      </c>
      <c r="O19" s="42"/>
    </row>
    <row r="20" spans="2:15" ht="30" customHeight="1" thickTop="1" thickBot="1" x14ac:dyDescent="0.4">
      <c r="B20" s="2"/>
      <c r="C20" s="7"/>
      <c r="D20" s="7"/>
      <c r="E20" s="8"/>
      <c r="F20" s="55" t="str">
        <f t="shared" si="0"/>
        <v/>
      </c>
      <c r="K20" s="1">
        <v>5.0000000000000002E-5</v>
      </c>
      <c r="L20" s="1" t="str">
        <f t="shared" si="1"/>
        <v/>
      </c>
      <c r="M20" s="1" t="str">
        <f t="shared" si="2"/>
        <v/>
      </c>
      <c r="N20" s="44" t="str">
        <f t="shared" si="3"/>
        <v/>
      </c>
      <c r="O20" s="42"/>
    </row>
    <row r="21" spans="2:15" ht="30" customHeight="1" thickTop="1" thickBot="1" x14ac:dyDescent="0.4">
      <c r="B21" s="2"/>
      <c r="C21" s="7"/>
      <c r="D21" s="7"/>
      <c r="E21" s="8"/>
      <c r="F21" s="55" t="str">
        <f t="shared" si="0"/>
        <v/>
      </c>
      <c r="H21" s="1" t="s">
        <v>3</v>
      </c>
      <c r="K21" s="1">
        <v>4.0000000000000003E-5</v>
      </c>
      <c r="L21" s="1" t="str">
        <f t="shared" si="1"/>
        <v/>
      </c>
      <c r="M21" s="1" t="str">
        <f t="shared" si="2"/>
        <v/>
      </c>
      <c r="N21" s="44" t="str">
        <f t="shared" si="3"/>
        <v/>
      </c>
      <c r="O21" s="42"/>
    </row>
    <row r="22" spans="2:15" ht="30" customHeight="1" thickTop="1" thickBot="1" x14ac:dyDescent="0.4">
      <c r="B22" s="2"/>
      <c r="C22" s="7"/>
      <c r="D22" s="7"/>
      <c r="E22" s="8"/>
      <c r="F22" s="55" t="str">
        <f t="shared" si="0"/>
        <v/>
      </c>
      <c r="H22" s="45"/>
      <c r="K22" s="1">
        <v>3.0000000000000001E-5</v>
      </c>
      <c r="L22" s="1" t="str">
        <f t="shared" si="1"/>
        <v/>
      </c>
      <c r="M22" s="1" t="str">
        <f t="shared" si="2"/>
        <v/>
      </c>
      <c r="N22" s="44" t="str">
        <f t="shared" si="3"/>
        <v/>
      </c>
      <c r="O22" s="42"/>
    </row>
    <row r="23" spans="2:15" ht="30" customHeight="1" thickTop="1" thickBot="1" x14ac:dyDescent="0.4">
      <c r="B23" s="2"/>
      <c r="C23" s="7"/>
      <c r="D23" s="7"/>
      <c r="E23" s="8"/>
      <c r="F23" s="55" t="str">
        <f t="shared" si="0"/>
        <v/>
      </c>
      <c r="H23" s="1" t="s">
        <v>7</v>
      </c>
      <c r="I23" s="45">
        <v>1</v>
      </c>
      <c r="K23" s="1">
        <v>2.0000000000000002E-5</v>
      </c>
      <c r="L23" s="1" t="str">
        <f t="shared" si="1"/>
        <v/>
      </c>
      <c r="M23" s="1" t="str">
        <f t="shared" si="2"/>
        <v/>
      </c>
      <c r="N23" s="44" t="str">
        <f t="shared" si="3"/>
        <v/>
      </c>
      <c r="O23" s="42"/>
    </row>
    <row r="24" spans="2:15" ht="30" customHeight="1" thickTop="1" thickBot="1" x14ac:dyDescent="0.4">
      <c r="B24" s="2"/>
      <c r="C24" s="7"/>
      <c r="D24" s="7"/>
      <c r="E24" s="8"/>
      <c r="F24" s="55" t="str">
        <f t="shared" si="0"/>
        <v/>
      </c>
      <c r="H24" s="1" t="s">
        <v>17</v>
      </c>
      <c r="I24" s="45">
        <v>2</v>
      </c>
      <c r="K24" s="1">
        <v>1.0000000000000001E-5</v>
      </c>
      <c r="L24" s="1" t="str">
        <f t="shared" si="1"/>
        <v/>
      </c>
      <c r="M24" s="1" t="str">
        <f t="shared" si="2"/>
        <v/>
      </c>
      <c r="N24" s="44" t="str">
        <f t="shared" si="3"/>
        <v/>
      </c>
      <c r="O24" s="42"/>
    </row>
    <row r="25" spans="2:15" ht="30" customHeight="1" thickTop="1" thickBot="1" x14ac:dyDescent="0.4">
      <c r="B25" s="94" t="s">
        <v>22</v>
      </c>
      <c r="C25" s="94"/>
      <c r="D25" s="95"/>
      <c r="E25" s="56" t="s">
        <v>18</v>
      </c>
      <c r="F25" s="57">
        <f>SUM(F5:F24)</f>
        <v>370</v>
      </c>
      <c r="H25" s="1" t="s">
        <v>19</v>
      </c>
      <c r="I25" s="45">
        <v>3</v>
      </c>
      <c r="N25" s="44"/>
      <c r="O25" s="42"/>
    </row>
    <row r="26" spans="2:15" ht="30" customHeight="1" thickTop="1" x14ac:dyDescent="0.35">
      <c r="H26" s="1" t="s">
        <v>20</v>
      </c>
      <c r="I26" s="45">
        <v>4</v>
      </c>
    </row>
    <row r="27" spans="2:15" ht="30" customHeight="1" x14ac:dyDescent="0.35">
      <c r="H27" s="1" t="s">
        <v>21</v>
      </c>
      <c r="I27" s="45">
        <v>5</v>
      </c>
    </row>
    <row r="28" spans="2:15" ht="30" customHeight="1" x14ac:dyDescent="0.35"/>
    <row r="29" spans="2:15" ht="30" customHeight="1" x14ac:dyDescent="0.35"/>
    <row r="30" spans="2:15" ht="30" customHeight="1" x14ac:dyDescent="0.35"/>
    <row r="31" spans="2:15" ht="30" customHeight="1" x14ac:dyDescent="0.35"/>
    <row r="32" spans="2:15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  <row r="98" ht="30" customHeight="1" x14ac:dyDescent="0.35"/>
    <row r="99" x14ac:dyDescent="0.35"/>
    <row r="100" x14ac:dyDescent="0.35"/>
  </sheetData>
  <sheetProtection formatCells="0" formatColumns="0" formatRows="0" selectLockedCells="1" autoFilter="0"/>
  <mergeCells count="1">
    <mergeCell ref="B25:D25"/>
  </mergeCells>
  <conditionalFormatting sqref="C5:C24">
    <cfRule type="containsText" dxfId="59" priority="9" operator="containsText" text="Pouco">
      <formula>NOT(ISERROR(SEARCH("Pouco",C5)))</formula>
    </cfRule>
    <cfRule type="containsText" dxfId="58" priority="10" operator="containsText" text="Sem">
      <formula>NOT(ISERROR(SEARCH("Sem",C5)))</formula>
    </cfRule>
    <cfRule type="containsText" dxfId="57" priority="11" operator="containsText" text="Muito">
      <formula>NOT(ISERROR(SEARCH("Muito",C5)))</formula>
    </cfRule>
    <cfRule type="containsText" dxfId="56" priority="12" operator="containsText" text="Totalmente">
      <formula>NOT(ISERROR(SEARCH("Totalmente",C5)))</formula>
    </cfRule>
  </conditionalFormatting>
  <conditionalFormatting sqref="D5:D24">
    <cfRule type="containsText" dxfId="55" priority="5" operator="containsText" text="Muito fraca">
      <formula>NOT(ISERROR(SEARCH("Muito fraca",D5)))</formula>
    </cfRule>
    <cfRule type="containsText" dxfId="54" priority="6" operator="containsText" text="Fraca">
      <formula>NOT(ISERROR(SEARCH("Fraca",D5)))</formula>
    </cfRule>
    <cfRule type="containsText" dxfId="53" priority="7" operator="containsText" text="Muito forte">
      <formula>NOT(ISERROR(SEARCH("Muito forte",D5)))</formula>
    </cfRule>
    <cfRule type="containsText" dxfId="52" priority="8" operator="containsText" text="Forte">
      <formula>NOT(ISERROR(SEARCH("Forte",D5)))</formula>
    </cfRule>
  </conditionalFormatting>
  <conditionalFormatting sqref="E5:E24">
    <cfRule type="containsText" dxfId="51" priority="1" operator="containsText" text="Piora muito">
      <formula>NOT(ISERROR(SEARCH("Piora muito",E5)))</formula>
    </cfRule>
    <cfRule type="containsText" dxfId="50" priority="2" operator="containsText" text="Piora">
      <formula>NOT(ISERROR(SEARCH("Piora",E5)))</formula>
    </cfRule>
    <cfRule type="containsText" dxfId="49" priority="3" operator="containsText" text="Melhora muito">
      <formula>NOT(ISERROR(SEARCH("Melhora muito",E5)))</formula>
    </cfRule>
    <cfRule type="containsText" dxfId="48" priority="4" operator="containsText" text="Melhora">
      <formula>NOT(ISERROR(SEARCH("Melhora",E5)))</formula>
    </cfRule>
  </conditionalFormatting>
  <dataValidations count="3">
    <dataValidation type="list" allowBlank="1" showInputMessage="1" showErrorMessage="1" sqref="C5:C24" xr:uid="{00000000-0002-0000-0300-000000000000}">
      <formula1>$H$7:$H$11</formula1>
    </dataValidation>
    <dataValidation type="list" allowBlank="1" showInputMessage="1" showErrorMessage="1" sqref="D5:D24" xr:uid="{00000000-0002-0000-0300-000001000000}">
      <formula1>$H$15:$H$19</formula1>
    </dataValidation>
    <dataValidation type="list" allowBlank="1" showInputMessage="1" showErrorMessage="1" sqref="E5:E24" xr:uid="{00000000-0002-0000-0300-000002000000}">
      <formula1>$H$23:$H$27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13"/>
  <dimension ref="B1:P97"/>
  <sheetViews>
    <sheetView showGridLines="0" zoomScale="70" zoomScaleNormal="70" workbookViewId="0">
      <selection activeCell="C1" sqref="C1"/>
    </sheetView>
  </sheetViews>
  <sheetFormatPr defaultColWidth="8.81640625" defaultRowHeight="0" customHeight="1" zeroHeight="1" x14ac:dyDescent="0.35"/>
  <cols>
    <col min="1" max="1" width="3.81640625" customWidth="1"/>
    <col min="2" max="2" width="98.26953125" customWidth="1"/>
    <col min="3" max="6" width="41.26953125" customWidth="1"/>
    <col min="7" max="7" width="8.81640625" style="4"/>
    <col min="8" max="16" width="8.81640625" style="1"/>
  </cols>
  <sheetData>
    <row r="1" spans="2:16" s="73" customFormat="1" ht="34" customHeight="1" x14ac:dyDescent="0.55000000000000004">
      <c r="B1" s="76"/>
      <c r="G1" s="75"/>
      <c r="H1" s="74"/>
      <c r="I1" s="74"/>
      <c r="J1" s="74"/>
      <c r="K1" s="74"/>
      <c r="L1" s="74"/>
      <c r="M1" s="74"/>
      <c r="N1" s="74"/>
      <c r="O1" s="74"/>
      <c r="P1" s="74"/>
    </row>
    <row r="2" spans="2:16" ht="30" customHeight="1" thickBot="1" x14ac:dyDescent="0.4"/>
    <row r="3" spans="2:16" ht="30" customHeight="1" thickTop="1" thickBot="1" x14ac:dyDescent="0.4">
      <c r="B3" s="51" t="s">
        <v>117</v>
      </c>
      <c r="C3" s="53" t="s">
        <v>1</v>
      </c>
      <c r="D3" s="53" t="s">
        <v>2</v>
      </c>
      <c r="E3" s="53" t="s">
        <v>3</v>
      </c>
      <c r="F3" s="54" t="s">
        <v>4</v>
      </c>
      <c r="G3" s="5"/>
      <c r="H3" s="6"/>
      <c r="I3" s="6"/>
      <c r="J3" s="6"/>
      <c r="K3" s="6"/>
      <c r="L3" s="6"/>
      <c r="M3" s="6"/>
      <c r="N3" s="6"/>
    </row>
    <row r="4" spans="2:16" ht="30" customHeight="1" thickTop="1" thickBot="1" x14ac:dyDescent="0.4">
      <c r="B4" s="46" t="s">
        <v>130</v>
      </c>
      <c r="C4" s="7" t="s">
        <v>5</v>
      </c>
      <c r="D4" s="7" t="s">
        <v>6</v>
      </c>
      <c r="E4" s="8" t="s">
        <v>20</v>
      </c>
      <c r="F4" s="55">
        <f>IF(ISERROR(VLOOKUP(C4,$H$6:$I$10,2,FALSE)*VLOOKUP(D4,$H$14:$I$18,2,FALSE)*VLOOKUP(E4,$H$22:$I$26,2,FALSE)),"",VLOOKUP(C4,$H$6:$I$10,2,FALSE)*VLOOKUP(D4,$H$14:$I$18,2,FALSE)*VLOOKUP(E4,$H$22:$I$26,2,FALSE))</f>
        <v>100</v>
      </c>
      <c r="H4" s="1" t="s">
        <v>1</v>
      </c>
      <c r="K4" s="1">
        <v>2.0000000000000001E-4</v>
      </c>
      <c r="L4" s="1">
        <f>IF(F4="","",F4+K4)</f>
        <v>100.00020000000001</v>
      </c>
      <c r="M4" s="1" t="str">
        <f>IF(B4=0,"",B4)</f>
        <v>Variação cambial (Dólar) impactando licenças de Cloud (AWS, Azure, etc.)</v>
      </c>
      <c r="N4" s="44">
        <f>F4</f>
        <v>100</v>
      </c>
    </row>
    <row r="5" spans="2:16" ht="30" customHeight="1" thickTop="1" thickBot="1" x14ac:dyDescent="0.4">
      <c r="B5" s="46" t="s">
        <v>131</v>
      </c>
      <c r="C5" s="7" t="s">
        <v>5</v>
      </c>
      <c r="D5" s="7" t="s">
        <v>13</v>
      </c>
      <c r="E5" s="8" t="s">
        <v>7</v>
      </c>
      <c r="F5" s="55">
        <f t="shared" ref="F5:F23" si="0">IF(ISERROR(VLOOKUP(C5,$H$6:$I$10,2,FALSE)*VLOOKUP(D5,$H$14:$I$18,2,FALSE)*VLOOKUP(E5,$H$22:$I$26,2,FALSE)),"",VLOOKUP(C5,$H$6:$I$10,2,FALSE)*VLOOKUP(D5,$H$14:$I$18,2,FALSE)*VLOOKUP(E5,$H$22:$I$26,2,FALSE))</f>
        <v>20</v>
      </c>
      <c r="G5" s="10"/>
      <c r="H5" s="45"/>
      <c r="K5" s="1">
        <v>1.9000000000000001E-4</v>
      </c>
      <c r="L5" s="1">
        <f t="shared" ref="L5:L23" si="1">IF(F5="","",F5+K5)</f>
        <v>20.00019</v>
      </c>
      <c r="M5" s="1" t="str">
        <f t="shared" ref="M5:M23" si="2">IF(B5=0,"",B5)</f>
        <v>Crescimento de investimentos tecnológicos no Setor Financeiro e Seguradoras</v>
      </c>
      <c r="N5" s="44">
        <f t="shared" ref="N5:N23" si="3">F5</f>
        <v>20</v>
      </c>
    </row>
    <row r="6" spans="2:16" ht="30" customHeight="1" thickTop="1" thickBot="1" x14ac:dyDescent="0.4">
      <c r="B6" s="46" t="s">
        <v>132</v>
      </c>
      <c r="C6" s="7" t="s">
        <v>11</v>
      </c>
      <c r="D6" s="7" t="s">
        <v>13</v>
      </c>
      <c r="E6" s="8" t="s">
        <v>20</v>
      </c>
      <c r="F6" s="55">
        <f t="shared" si="0"/>
        <v>48</v>
      </c>
      <c r="G6" s="11"/>
      <c r="H6" s="1" t="s">
        <v>9</v>
      </c>
      <c r="I6" s="45">
        <v>1</v>
      </c>
      <c r="K6" s="1">
        <v>1.8000000000000001E-4</v>
      </c>
      <c r="L6" s="1">
        <f t="shared" si="1"/>
        <v>48.00018</v>
      </c>
      <c r="M6" s="1" t="str">
        <f t="shared" si="2"/>
        <v>Inflação salarial e custo para atração/retenção de talentos de TI</v>
      </c>
      <c r="N6" s="44">
        <f t="shared" si="3"/>
        <v>48</v>
      </c>
    </row>
    <row r="7" spans="2:16" ht="30" customHeight="1" thickTop="1" thickBot="1" x14ac:dyDescent="0.4">
      <c r="B7" s="46" t="s">
        <v>133</v>
      </c>
      <c r="C7" s="7" t="s">
        <v>11</v>
      </c>
      <c r="D7" s="7" t="s">
        <v>13</v>
      </c>
      <c r="E7" s="8" t="s">
        <v>7</v>
      </c>
      <c r="F7" s="55">
        <f t="shared" si="0"/>
        <v>12</v>
      </c>
      <c r="H7" s="1" t="s">
        <v>10</v>
      </c>
      <c r="I7" s="45">
        <v>2</v>
      </c>
      <c r="K7" s="1">
        <v>1.7000000000000001E-4</v>
      </c>
      <c r="L7" s="1">
        <f t="shared" si="1"/>
        <v>12.000170000000001</v>
      </c>
      <c r="M7" s="1" t="str">
        <f t="shared" si="2"/>
        <v>Orçamento corporativo focado em eficiência e redução de custos (FinOps)</v>
      </c>
      <c r="N7" s="44">
        <f t="shared" si="3"/>
        <v>12</v>
      </c>
    </row>
    <row r="8" spans="2:16" ht="30" customHeight="1" thickTop="1" thickBot="1" x14ac:dyDescent="0.4">
      <c r="B8" s="46" t="s">
        <v>134</v>
      </c>
      <c r="C8" s="7" t="s">
        <v>11</v>
      </c>
      <c r="D8" s="7" t="s">
        <v>14</v>
      </c>
      <c r="E8" s="8" t="s">
        <v>20</v>
      </c>
      <c r="F8" s="55">
        <f t="shared" si="0"/>
        <v>36</v>
      </c>
      <c r="H8" s="1" t="s">
        <v>11</v>
      </c>
      <c r="I8" s="45">
        <v>3</v>
      </c>
      <c r="K8" s="1">
        <v>1.6000000000000001E-4</v>
      </c>
      <c r="L8" s="1">
        <f t="shared" si="1"/>
        <v>36.000160000000001</v>
      </c>
      <c r="M8" s="1" t="str">
        <f t="shared" si="2"/>
        <v>Competitividade e pressão sobre o pricing de consultorias de dados</v>
      </c>
      <c r="N8" s="44">
        <f t="shared" si="3"/>
        <v>36</v>
      </c>
    </row>
    <row r="9" spans="2:16" ht="30" customHeight="1" thickTop="1" thickBot="1" x14ac:dyDescent="0.4">
      <c r="B9" s="46" t="s">
        <v>135</v>
      </c>
      <c r="C9" s="7" t="s">
        <v>9</v>
      </c>
      <c r="D9" s="7" t="s">
        <v>14</v>
      </c>
      <c r="E9" s="8" t="s">
        <v>19</v>
      </c>
      <c r="F9" s="55">
        <f t="shared" si="0"/>
        <v>9</v>
      </c>
      <c r="H9" s="1" t="s">
        <v>12</v>
      </c>
      <c r="I9" s="45">
        <v>4</v>
      </c>
      <c r="K9" s="1">
        <v>1.4999999999999999E-4</v>
      </c>
      <c r="L9" s="1">
        <f t="shared" si="1"/>
        <v>9.0001499999999997</v>
      </c>
      <c r="M9" s="1" t="str">
        <f t="shared" si="2"/>
        <v>Taxa de juros (Selic) afetando o crédito para expansão de clientes B2B</v>
      </c>
      <c r="N9" s="44">
        <f t="shared" si="3"/>
        <v>9</v>
      </c>
    </row>
    <row r="10" spans="2:16" ht="30" customHeight="1" thickTop="1" thickBot="1" x14ac:dyDescent="0.4">
      <c r="B10" s="46" t="s">
        <v>136</v>
      </c>
      <c r="C10" s="7" t="s">
        <v>9</v>
      </c>
      <c r="D10" s="7" t="s">
        <v>14</v>
      </c>
      <c r="E10" s="8" t="s">
        <v>20</v>
      </c>
      <c r="F10" s="55">
        <f t="shared" si="0"/>
        <v>12</v>
      </c>
      <c r="H10" s="1" t="s">
        <v>5</v>
      </c>
      <c r="I10" s="45">
        <v>5</v>
      </c>
      <c r="K10" s="1">
        <v>1.3999999999999999E-4</v>
      </c>
      <c r="L10" s="1">
        <f t="shared" si="1"/>
        <v>12.00014</v>
      </c>
      <c r="M10" s="1" t="str">
        <f t="shared" si="2"/>
        <v>Custos de infraestrutura para expansão da equipe interna em 40%</v>
      </c>
      <c r="N10" s="44">
        <f t="shared" si="3"/>
        <v>12</v>
      </c>
    </row>
    <row r="11" spans="2:16" ht="30" customHeight="1" thickTop="1" thickBot="1" x14ac:dyDescent="0.4">
      <c r="B11" s="46" t="s">
        <v>137</v>
      </c>
      <c r="C11" s="7" t="s">
        <v>10</v>
      </c>
      <c r="D11" s="7" t="s">
        <v>15</v>
      </c>
      <c r="E11" s="8" t="s">
        <v>19</v>
      </c>
      <c r="F11" s="55">
        <f t="shared" si="0"/>
        <v>12</v>
      </c>
      <c r="K11" s="1">
        <v>1.2999999999999999E-4</v>
      </c>
      <c r="L11" s="1">
        <f t="shared" si="1"/>
        <v>12.00013</v>
      </c>
      <c r="M11" s="1" t="str">
        <f t="shared" si="2"/>
        <v>Acesso a capital de risco e investimentos no ecossistema de tecnologia</v>
      </c>
      <c r="N11" s="44">
        <f t="shared" si="3"/>
        <v>12</v>
      </c>
    </row>
    <row r="12" spans="2:16" ht="30" customHeight="1" thickTop="1" thickBot="1" x14ac:dyDescent="0.4">
      <c r="B12" s="46" t="s">
        <v>138</v>
      </c>
      <c r="C12" s="7" t="s">
        <v>10</v>
      </c>
      <c r="D12" s="7" t="s">
        <v>15</v>
      </c>
      <c r="E12" s="48" t="s">
        <v>19</v>
      </c>
      <c r="F12" s="55">
        <f t="shared" si="0"/>
        <v>12</v>
      </c>
      <c r="H12" s="1" t="s">
        <v>2</v>
      </c>
      <c r="K12" s="1">
        <v>1.2E-4</v>
      </c>
      <c r="L12" s="1">
        <f t="shared" si="1"/>
        <v>12.000120000000001</v>
      </c>
      <c r="M12" s="1" t="str">
        <f t="shared" si="2"/>
        <v>Risco de instabilidade econômica global afetando renovações de contratos</v>
      </c>
      <c r="N12" s="44">
        <f t="shared" si="3"/>
        <v>12</v>
      </c>
    </row>
    <row r="13" spans="2:16" ht="30" customHeight="1" thickTop="1" thickBot="1" x14ac:dyDescent="0.4">
      <c r="B13" s="46" t="s">
        <v>139</v>
      </c>
      <c r="C13" s="7" t="s">
        <v>10</v>
      </c>
      <c r="D13" s="7" t="s">
        <v>16</v>
      </c>
      <c r="E13" s="8" t="s">
        <v>19</v>
      </c>
      <c r="F13" s="55">
        <f t="shared" si="0"/>
        <v>6</v>
      </c>
      <c r="H13" s="45"/>
      <c r="K13" s="1">
        <v>1.1E-4</v>
      </c>
      <c r="L13" s="1">
        <f t="shared" si="1"/>
        <v>6.0001100000000003</v>
      </c>
      <c r="M13" s="1" t="str">
        <f t="shared" si="2"/>
        <v>Inflação geral impactando os custos operacionais da QSOFT</v>
      </c>
      <c r="N13" s="44">
        <f t="shared" si="3"/>
        <v>6</v>
      </c>
    </row>
    <row r="14" spans="2:16" ht="30" customHeight="1" thickTop="1" thickBot="1" x14ac:dyDescent="0.4">
      <c r="B14" s="2"/>
      <c r="C14" s="7"/>
      <c r="D14" s="7"/>
      <c r="E14" s="8"/>
      <c r="F14" s="55" t="str">
        <f t="shared" si="0"/>
        <v/>
      </c>
      <c r="H14" s="1" t="s">
        <v>6</v>
      </c>
      <c r="I14" s="45">
        <v>5</v>
      </c>
      <c r="K14" s="1">
        <v>1E-4</v>
      </c>
      <c r="L14" s="1" t="str">
        <f t="shared" si="1"/>
        <v/>
      </c>
      <c r="M14" s="1" t="str">
        <f t="shared" si="2"/>
        <v/>
      </c>
      <c r="N14" s="44" t="str">
        <f t="shared" si="3"/>
        <v/>
      </c>
    </row>
    <row r="15" spans="2:16" ht="30" customHeight="1" thickTop="1" thickBot="1" x14ac:dyDescent="0.4">
      <c r="B15" s="2"/>
      <c r="C15" s="7"/>
      <c r="D15" s="7"/>
      <c r="E15" s="8"/>
      <c r="F15" s="55" t="str">
        <f t="shared" si="0"/>
        <v/>
      </c>
      <c r="H15" s="1" t="s">
        <v>13</v>
      </c>
      <c r="I15" s="45">
        <v>4</v>
      </c>
      <c r="K15" s="1">
        <v>9.0000000000000006E-5</v>
      </c>
      <c r="L15" s="1" t="str">
        <f t="shared" si="1"/>
        <v/>
      </c>
      <c r="M15" s="1" t="str">
        <f t="shared" si="2"/>
        <v/>
      </c>
      <c r="N15" s="44" t="str">
        <f t="shared" si="3"/>
        <v/>
      </c>
    </row>
    <row r="16" spans="2:16" ht="30" customHeight="1" thickTop="1" thickBot="1" x14ac:dyDescent="0.4">
      <c r="B16" s="2"/>
      <c r="C16" s="7"/>
      <c r="D16" s="7"/>
      <c r="E16" s="8"/>
      <c r="F16" s="55" t="str">
        <f t="shared" si="0"/>
        <v/>
      </c>
      <c r="H16" s="1" t="s">
        <v>14</v>
      </c>
      <c r="I16" s="45">
        <v>3</v>
      </c>
      <c r="K16" s="1">
        <v>8.0000000000000007E-5</v>
      </c>
      <c r="L16" s="1" t="str">
        <f t="shared" si="1"/>
        <v/>
      </c>
      <c r="M16" s="1" t="str">
        <f t="shared" si="2"/>
        <v/>
      </c>
      <c r="N16" s="44" t="str">
        <f t="shared" si="3"/>
        <v/>
      </c>
    </row>
    <row r="17" spans="2:14" ht="30" customHeight="1" thickTop="1" thickBot="1" x14ac:dyDescent="0.4">
      <c r="B17" s="2"/>
      <c r="C17" s="7"/>
      <c r="D17" s="7"/>
      <c r="E17" s="8"/>
      <c r="F17" s="55" t="str">
        <f t="shared" si="0"/>
        <v/>
      </c>
      <c r="H17" s="1" t="s">
        <v>15</v>
      </c>
      <c r="I17" s="45">
        <v>2</v>
      </c>
      <c r="K17" s="1">
        <v>6.9999999999999994E-5</v>
      </c>
      <c r="L17" s="1" t="str">
        <f t="shared" si="1"/>
        <v/>
      </c>
      <c r="M17" s="1" t="str">
        <f t="shared" si="2"/>
        <v/>
      </c>
      <c r="N17" s="44" t="str">
        <f t="shared" si="3"/>
        <v/>
      </c>
    </row>
    <row r="18" spans="2:14" ht="30" customHeight="1" thickTop="1" thickBot="1" x14ac:dyDescent="0.4">
      <c r="B18" s="2"/>
      <c r="C18" s="7"/>
      <c r="D18" s="7"/>
      <c r="E18" s="8"/>
      <c r="F18" s="55" t="str">
        <f t="shared" si="0"/>
        <v/>
      </c>
      <c r="H18" s="1" t="s">
        <v>16</v>
      </c>
      <c r="I18" s="45">
        <v>1</v>
      </c>
      <c r="K18" s="1">
        <v>6.0000000000000002E-5</v>
      </c>
      <c r="L18" s="1" t="str">
        <f t="shared" si="1"/>
        <v/>
      </c>
      <c r="M18" s="1" t="str">
        <f t="shared" si="2"/>
        <v/>
      </c>
      <c r="N18" s="44" t="str">
        <f t="shared" si="3"/>
        <v/>
      </c>
    </row>
    <row r="19" spans="2:14" ht="30" customHeight="1" thickTop="1" thickBot="1" x14ac:dyDescent="0.4">
      <c r="B19" s="2"/>
      <c r="C19" s="7"/>
      <c r="D19" s="7"/>
      <c r="E19" s="8"/>
      <c r="F19" s="55" t="str">
        <f t="shared" si="0"/>
        <v/>
      </c>
      <c r="K19" s="1">
        <v>5.0000000000000002E-5</v>
      </c>
      <c r="L19" s="1" t="str">
        <f t="shared" si="1"/>
        <v/>
      </c>
      <c r="M19" s="1" t="str">
        <f t="shared" si="2"/>
        <v/>
      </c>
      <c r="N19" s="44" t="str">
        <f t="shared" si="3"/>
        <v/>
      </c>
    </row>
    <row r="20" spans="2:14" ht="30" customHeight="1" thickTop="1" thickBot="1" x14ac:dyDescent="0.4">
      <c r="B20" s="2"/>
      <c r="C20" s="7"/>
      <c r="D20" s="7"/>
      <c r="E20" s="8"/>
      <c r="F20" s="55" t="str">
        <f t="shared" si="0"/>
        <v/>
      </c>
      <c r="H20" s="1" t="s">
        <v>3</v>
      </c>
      <c r="K20" s="1">
        <v>4.0000000000000003E-5</v>
      </c>
      <c r="L20" s="1" t="str">
        <f t="shared" si="1"/>
        <v/>
      </c>
      <c r="M20" s="1" t="str">
        <f t="shared" si="2"/>
        <v/>
      </c>
      <c r="N20" s="44" t="str">
        <f t="shared" si="3"/>
        <v/>
      </c>
    </row>
    <row r="21" spans="2:14" ht="30" customHeight="1" thickTop="1" thickBot="1" x14ac:dyDescent="0.4">
      <c r="B21" s="2"/>
      <c r="C21" s="7"/>
      <c r="D21" s="7"/>
      <c r="E21" s="8"/>
      <c r="F21" s="55" t="str">
        <f t="shared" si="0"/>
        <v/>
      </c>
      <c r="H21" s="45"/>
      <c r="K21" s="1">
        <v>3.0000000000000001E-5</v>
      </c>
      <c r="L21" s="1" t="str">
        <f t="shared" si="1"/>
        <v/>
      </c>
      <c r="M21" s="1" t="str">
        <f t="shared" si="2"/>
        <v/>
      </c>
      <c r="N21" s="44" t="str">
        <f t="shared" si="3"/>
        <v/>
      </c>
    </row>
    <row r="22" spans="2:14" ht="30" customHeight="1" thickTop="1" thickBot="1" x14ac:dyDescent="0.4">
      <c r="B22" s="2"/>
      <c r="C22" s="7"/>
      <c r="D22" s="7"/>
      <c r="E22" s="8"/>
      <c r="F22" s="55" t="str">
        <f t="shared" si="0"/>
        <v/>
      </c>
      <c r="H22" s="1" t="s">
        <v>7</v>
      </c>
      <c r="I22" s="45">
        <v>1</v>
      </c>
      <c r="K22" s="1">
        <v>2.0000000000000002E-5</v>
      </c>
      <c r="L22" s="1" t="str">
        <f t="shared" si="1"/>
        <v/>
      </c>
      <c r="M22" s="1" t="str">
        <f t="shared" si="2"/>
        <v/>
      </c>
      <c r="N22" s="44" t="str">
        <f t="shared" si="3"/>
        <v/>
      </c>
    </row>
    <row r="23" spans="2:14" ht="30" customHeight="1" thickTop="1" thickBot="1" x14ac:dyDescent="0.4">
      <c r="B23" s="2"/>
      <c r="C23" s="7"/>
      <c r="D23" s="7"/>
      <c r="E23" s="8"/>
      <c r="F23" s="55" t="str">
        <f t="shared" si="0"/>
        <v/>
      </c>
      <c r="H23" s="1" t="s">
        <v>17</v>
      </c>
      <c r="I23" s="45">
        <v>2</v>
      </c>
      <c r="K23" s="1">
        <v>1.0000000000000001E-5</v>
      </c>
      <c r="L23" s="1" t="str">
        <f t="shared" si="1"/>
        <v/>
      </c>
      <c r="M23" s="1" t="str">
        <f t="shared" si="2"/>
        <v/>
      </c>
      <c r="N23" s="44" t="str">
        <f t="shared" si="3"/>
        <v/>
      </c>
    </row>
    <row r="24" spans="2:14" ht="30" customHeight="1" thickTop="1" thickBot="1" x14ac:dyDescent="0.4">
      <c r="B24" s="94" t="s">
        <v>23</v>
      </c>
      <c r="C24" s="94"/>
      <c r="D24" s="95"/>
      <c r="E24" s="56" t="s">
        <v>18</v>
      </c>
      <c r="F24" s="57">
        <f>SUM(F4:F23)</f>
        <v>267</v>
      </c>
      <c r="H24" s="1" t="s">
        <v>19</v>
      </c>
      <c r="I24" s="45">
        <v>3</v>
      </c>
      <c r="N24" s="44"/>
    </row>
    <row r="25" spans="2:14" ht="30" customHeight="1" thickTop="1" x14ac:dyDescent="0.35">
      <c r="H25" s="1" t="s">
        <v>20</v>
      </c>
      <c r="I25" s="45">
        <v>4</v>
      </c>
    </row>
    <row r="26" spans="2:14" ht="30" customHeight="1" x14ac:dyDescent="0.35">
      <c r="H26" s="1" t="s">
        <v>21</v>
      </c>
      <c r="I26" s="45">
        <v>5</v>
      </c>
    </row>
    <row r="27" spans="2:14" ht="30" customHeight="1" x14ac:dyDescent="0.35"/>
    <row r="28" spans="2:14" ht="30" customHeight="1" x14ac:dyDescent="0.35"/>
    <row r="29" spans="2:14" ht="30" customHeight="1" x14ac:dyDescent="0.35"/>
    <row r="30" spans="2:14" ht="30" customHeight="1" x14ac:dyDescent="0.35"/>
    <row r="31" spans="2:14" ht="30" customHeight="1" x14ac:dyDescent="0.35"/>
    <row r="32" spans="2:14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</sheetData>
  <sheetProtection formatCells="0" formatColumns="0" formatRows="0" selectLockedCells="1" autoFilter="0"/>
  <mergeCells count="1">
    <mergeCell ref="B24:D24"/>
  </mergeCells>
  <conditionalFormatting sqref="C4:C23">
    <cfRule type="containsText" dxfId="47" priority="9" operator="containsText" text="Pouco">
      <formula>NOT(ISERROR(SEARCH("Pouco",C4)))</formula>
    </cfRule>
    <cfRule type="containsText" dxfId="46" priority="10" operator="containsText" text="Sem">
      <formula>NOT(ISERROR(SEARCH("Sem",C4)))</formula>
    </cfRule>
    <cfRule type="containsText" dxfId="45" priority="11" operator="containsText" text="Muito">
      <formula>NOT(ISERROR(SEARCH("Muito",C4)))</formula>
    </cfRule>
    <cfRule type="containsText" dxfId="44" priority="12" operator="containsText" text="Totalmente">
      <formula>NOT(ISERROR(SEARCH("Totalmente",C4)))</formula>
    </cfRule>
  </conditionalFormatting>
  <conditionalFormatting sqref="D4:D23">
    <cfRule type="containsText" dxfId="43" priority="5" operator="containsText" text="Muito fraca">
      <formula>NOT(ISERROR(SEARCH("Muito fraca",D4)))</formula>
    </cfRule>
    <cfRule type="containsText" dxfId="42" priority="6" operator="containsText" text="Fraca">
      <formula>NOT(ISERROR(SEARCH("Fraca",D4)))</formula>
    </cfRule>
    <cfRule type="containsText" dxfId="41" priority="7" operator="containsText" text="Muito forte">
      <formula>NOT(ISERROR(SEARCH("Muito forte",D4)))</formula>
    </cfRule>
    <cfRule type="containsText" dxfId="40" priority="8" operator="containsText" text="Forte">
      <formula>NOT(ISERROR(SEARCH("Forte",D4)))</formula>
    </cfRule>
  </conditionalFormatting>
  <conditionalFormatting sqref="E4:E23">
    <cfRule type="containsText" dxfId="39" priority="1" operator="containsText" text="Piora muito">
      <formula>NOT(ISERROR(SEARCH("Piora muito",E4)))</formula>
    </cfRule>
    <cfRule type="containsText" dxfId="38" priority="2" operator="containsText" text="Piora">
      <formula>NOT(ISERROR(SEARCH("Piora",E4)))</formula>
    </cfRule>
    <cfRule type="containsText" dxfId="37" priority="3" operator="containsText" text="Melhora muito">
      <formula>NOT(ISERROR(SEARCH("Melhora muito",E4)))</formula>
    </cfRule>
    <cfRule type="containsText" dxfId="36" priority="4" operator="containsText" text="Melhora">
      <formula>NOT(ISERROR(SEARCH("Melhora",E4)))</formula>
    </cfRule>
  </conditionalFormatting>
  <dataValidations count="3">
    <dataValidation type="list" allowBlank="1" showInputMessage="1" showErrorMessage="1" sqref="E4:E23" xr:uid="{00000000-0002-0000-0400-000000000000}">
      <formula1>$H$22:$H$26</formula1>
    </dataValidation>
    <dataValidation type="list" allowBlank="1" showInputMessage="1" showErrorMessage="1" sqref="D4:D23" xr:uid="{00000000-0002-0000-0400-000001000000}">
      <formula1>$H$14:$H$18</formula1>
    </dataValidation>
    <dataValidation type="list" allowBlank="1" showInputMessage="1" showErrorMessage="1" sqref="C4:C23" xr:uid="{00000000-0002-0000-0400-000002000000}">
      <formula1>$H$6:$H$10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4"/>
  <dimension ref="B1:O97"/>
  <sheetViews>
    <sheetView showGridLines="0" zoomScale="70" zoomScaleNormal="70" workbookViewId="0">
      <selection activeCell="B2" sqref="B2"/>
    </sheetView>
  </sheetViews>
  <sheetFormatPr defaultColWidth="8.81640625" defaultRowHeight="0" customHeight="1" zeroHeight="1" x14ac:dyDescent="0.35"/>
  <cols>
    <col min="1" max="1" width="2.26953125" customWidth="1"/>
    <col min="2" max="2" width="98.26953125" customWidth="1"/>
    <col min="3" max="6" width="41.26953125" customWidth="1"/>
    <col min="7" max="7" width="8.81640625" style="4"/>
    <col min="8" max="15" width="8.81640625" style="1"/>
  </cols>
  <sheetData>
    <row r="1" spans="2:15" s="73" customFormat="1" ht="34.5" customHeight="1" x14ac:dyDescent="0.55000000000000004">
      <c r="B1" s="76"/>
      <c r="G1" s="75"/>
      <c r="H1" s="74"/>
      <c r="I1" s="74"/>
      <c r="J1" s="74"/>
      <c r="K1" s="74"/>
      <c r="L1" s="74"/>
      <c r="M1" s="74"/>
      <c r="N1" s="74"/>
      <c r="O1" s="74"/>
    </row>
    <row r="2" spans="2:15" ht="30" customHeight="1" thickBot="1" x14ac:dyDescent="0.4"/>
    <row r="3" spans="2:15" ht="30" customHeight="1" thickTop="1" thickBot="1" x14ac:dyDescent="0.4">
      <c r="B3" s="51" t="s">
        <v>117</v>
      </c>
      <c r="C3" s="53" t="s">
        <v>1</v>
      </c>
      <c r="D3" s="53" t="s">
        <v>2</v>
      </c>
      <c r="E3" s="53" t="s">
        <v>3</v>
      </c>
      <c r="F3" s="54" t="s">
        <v>4</v>
      </c>
      <c r="G3" s="5"/>
      <c r="H3" s="6"/>
      <c r="I3" s="6"/>
      <c r="J3" s="6"/>
      <c r="K3" s="6"/>
      <c r="L3" s="6"/>
      <c r="M3" s="6"/>
      <c r="N3" s="6"/>
    </row>
    <row r="4" spans="2:15" ht="30" customHeight="1" thickTop="1" thickBot="1" x14ac:dyDescent="0.4">
      <c r="B4" s="46" t="s">
        <v>140</v>
      </c>
      <c r="C4" s="7" t="s">
        <v>5</v>
      </c>
      <c r="D4" s="7" t="s">
        <v>6</v>
      </c>
      <c r="E4" s="8" t="s">
        <v>21</v>
      </c>
      <c r="F4" s="55">
        <f>IF(ISERROR(VLOOKUP(C4,$H$6:$I$10,2,FALSE)*VLOOKUP(D4,$H$14:$I$18,2,FALSE)*VLOOKUP(E4,$H$22:$I$26,2,FALSE)),"",VLOOKUP(C4,$H$6:$I$10,2,FALSE)*VLOOKUP(D4,$H$14:$I$18,2,FALSE)*VLOOKUP(E4,$H$22:$I$26,2,FALSE))</f>
        <v>125</v>
      </c>
      <c r="H4" s="1" t="s">
        <v>1</v>
      </c>
      <c r="K4" s="1">
        <v>2.0000000000000001E-4</v>
      </c>
      <c r="L4" s="1">
        <f>IF(F4="","",F4+K4)</f>
        <v>125.00020000000001</v>
      </c>
      <c r="M4" s="1" t="str">
        <f>IF(B4=0,"",B4)</f>
        <v>Adoção descontrolada de ferramentas de IA pelos funcionários (Shadow AI)</v>
      </c>
      <c r="N4" s="44">
        <f>F4</f>
        <v>125</v>
      </c>
    </row>
    <row r="5" spans="2:15" ht="30" customHeight="1" thickTop="1" thickBot="1" x14ac:dyDescent="0.4">
      <c r="B5" s="46" t="s">
        <v>141</v>
      </c>
      <c r="C5" s="7" t="s">
        <v>5</v>
      </c>
      <c r="D5" s="7" t="s">
        <v>13</v>
      </c>
      <c r="E5" s="8" t="s">
        <v>20</v>
      </c>
      <c r="F5" s="55">
        <f t="shared" ref="F5:F23" si="0">IF(ISERROR(VLOOKUP(C5,$H$6:$I$10,2,FALSE)*VLOOKUP(D5,$H$14:$I$18,2,FALSE)*VLOOKUP(E5,$H$22:$I$26,2,FALSE)),"",VLOOKUP(C5,$H$6:$I$10,2,FALSE)*VLOOKUP(D5,$H$14:$I$18,2,FALSE)*VLOOKUP(E5,$H$22:$I$26,2,FALSE))</f>
        <v>80</v>
      </c>
      <c r="G5" s="10"/>
      <c r="H5" s="45"/>
      <c r="K5" s="1">
        <v>1.9000000000000001E-4</v>
      </c>
      <c r="L5" s="1">
        <f t="shared" ref="L5:L23" si="1">IF(F5="","",F5+K5)</f>
        <v>80.000190000000003</v>
      </c>
      <c r="M5" s="1" t="str">
        <f t="shared" ref="M5:M23" si="2">IF(B5=0,"",B5)</f>
        <v>Escassez de mão de obra superespecializada em dados e IA no mercado</v>
      </c>
      <c r="N5" s="44">
        <f t="shared" ref="N5:N23" si="3">F5</f>
        <v>80</v>
      </c>
    </row>
    <row r="6" spans="2:15" ht="30" customHeight="1" thickTop="1" thickBot="1" x14ac:dyDescent="0.4">
      <c r="B6" s="46" t="s">
        <v>142</v>
      </c>
      <c r="C6" s="7" t="s">
        <v>11</v>
      </c>
      <c r="D6" s="7" t="s">
        <v>13</v>
      </c>
      <c r="E6" s="8" t="s">
        <v>7</v>
      </c>
      <c r="F6" s="55">
        <f t="shared" si="0"/>
        <v>12</v>
      </c>
      <c r="G6" s="11"/>
      <c r="H6" s="1" t="s">
        <v>9</v>
      </c>
      <c r="I6" s="45">
        <v>1</v>
      </c>
      <c r="K6" s="1">
        <v>1.8000000000000001E-4</v>
      </c>
      <c r="L6" s="1">
        <f t="shared" si="1"/>
        <v>12.00018</v>
      </c>
      <c r="M6" s="1" t="str">
        <f t="shared" si="2"/>
        <v>Mudança de cultura corporativa focada em tomada de decisão baseada em dados</v>
      </c>
      <c r="N6" s="44">
        <f t="shared" si="3"/>
        <v>12</v>
      </c>
    </row>
    <row r="7" spans="2:15" ht="30" customHeight="1" thickTop="1" thickBot="1" x14ac:dyDescent="0.4">
      <c r="B7" s="46" t="s">
        <v>143</v>
      </c>
      <c r="C7" s="7" t="s">
        <v>11</v>
      </c>
      <c r="D7" s="7" t="s">
        <v>13</v>
      </c>
      <c r="E7" s="8" t="s">
        <v>20</v>
      </c>
      <c r="F7" s="55">
        <f t="shared" si="0"/>
        <v>48</v>
      </c>
      <c r="H7" s="1" t="s">
        <v>10</v>
      </c>
      <c r="I7" s="45">
        <v>2</v>
      </c>
      <c r="K7" s="1">
        <v>1.7000000000000001E-4</v>
      </c>
      <c r="L7" s="1">
        <f t="shared" si="1"/>
        <v>48.000169999999997</v>
      </c>
      <c r="M7" s="1" t="str">
        <f t="shared" si="2"/>
        <v>Preocupação crescente com a privacidade e vazamento de dados corporativos</v>
      </c>
      <c r="N7" s="44">
        <f t="shared" si="3"/>
        <v>48</v>
      </c>
    </row>
    <row r="8" spans="2:15" ht="30" customHeight="1" thickTop="1" thickBot="1" x14ac:dyDescent="0.4">
      <c r="B8" s="46" t="s">
        <v>144</v>
      </c>
      <c r="C8" s="7" t="s">
        <v>11</v>
      </c>
      <c r="D8" s="7" t="s">
        <v>14</v>
      </c>
      <c r="E8" s="8" t="s">
        <v>17</v>
      </c>
      <c r="F8" s="55">
        <f t="shared" si="0"/>
        <v>18</v>
      </c>
      <c r="H8" s="1" t="s">
        <v>11</v>
      </c>
      <c r="I8" s="45">
        <v>3</v>
      </c>
      <c r="K8" s="1">
        <v>1.6000000000000001E-4</v>
      </c>
      <c r="L8" s="1">
        <f t="shared" si="1"/>
        <v>18.000160000000001</v>
      </c>
      <c r="M8" s="1" t="str">
        <f t="shared" si="2"/>
        <v>Necessidade contínua de capacitação das equipes (Lifelong learning)</v>
      </c>
      <c r="N8" s="44">
        <f t="shared" si="3"/>
        <v>18</v>
      </c>
    </row>
    <row r="9" spans="2:15" ht="30" customHeight="1" thickTop="1" thickBot="1" x14ac:dyDescent="0.4">
      <c r="B9" s="46" t="s">
        <v>145</v>
      </c>
      <c r="C9" s="7" t="s">
        <v>9</v>
      </c>
      <c r="D9" s="7" t="s">
        <v>14</v>
      </c>
      <c r="E9" s="8" t="s">
        <v>19</v>
      </c>
      <c r="F9" s="55">
        <f t="shared" si="0"/>
        <v>9</v>
      </c>
      <c r="H9" s="1" t="s">
        <v>12</v>
      </c>
      <c r="I9" s="45">
        <v>4</v>
      </c>
      <c r="K9" s="1">
        <v>1.4999999999999999E-4</v>
      </c>
      <c r="L9" s="1">
        <f t="shared" si="1"/>
        <v>9.0001499999999997</v>
      </c>
      <c r="M9" s="1" t="str">
        <f t="shared" si="2"/>
        <v>Maturidade digital e resistência à mudança por parte de stakeholders não-técnicos</v>
      </c>
      <c r="N9" s="44">
        <f t="shared" si="3"/>
        <v>9</v>
      </c>
    </row>
    <row r="10" spans="2:15" ht="30" customHeight="1" thickTop="1" thickBot="1" x14ac:dyDescent="0.4">
      <c r="B10" s="46" t="s">
        <v>146</v>
      </c>
      <c r="C10" s="7" t="s">
        <v>9</v>
      </c>
      <c r="D10" s="7" t="s">
        <v>14</v>
      </c>
      <c r="E10" s="8" t="s">
        <v>19</v>
      </c>
      <c r="F10" s="55">
        <f t="shared" si="0"/>
        <v>9</v>
      </c>
      <c r="H10" s="1" t="s">
        <v>5</v>
      </c>
      <c r="I10" s="45">
        <v>5</v>
      </c>
      <c r="K10" s="1">
        <v>1.3999999999999999E-4</v>
      </c>
      <c r="L10" s="1">
        <f t="shared" si="1"/>
        <v>9.00014</v>
      </c>
      <c r="M10" s="1" t="str">
        <f t="shared" si="2"/>
        <v>Impacto do trabalho remoto/híbrido no aculturamento de novos colaboradores</v>
      </c>
      <c r="N10" s="44">
        <f t="shared" si="3"/>
        <v>9</v>
      </c>
    </row>
    <row r="11" spans="2:15" ht="30" customHeight="1" thickTop="1" thickBot="1" x14ac:dyDescent="0.4">
      <c r="B11" s="46" t="s">
        <v>147</v>
      </c>
      <c r="C11" s="7" t="s">
        <v>9</v>
      </c>
      <c r="D11" s="7" t="s">
        <v>14</v>
      </c>
      <c r="E11" s="8" t="s">
        <v>17</v>
      </c>
      <c r="F11" s="55">
        <f t="shared" si="0"/>
        <v>6</v>
      </c>
      <c r="K11" s="1">
        <v>1.2999999999999999E-4</v>
      </c>
      <c r="L11" s="1">
        <f t="shared" si="1"/>
        <v>6.0001300000000004</v>
      </c>
      <c r="M11" s="1" t="str">
        <f t="shared" si="2"/>
        <v>Expectativa do cliente por hiperpersonalização e atendimento consultivo próximo</v>
      </c>
      <c r="N11" s="44">
        <f t="shared" si="3"/>
        <v>6</v>
      </c>
    </row>
    <row r="12" spans="2:15" ht="30" customHeight="1" thickTop="1" thickBot="1" x14ac:dyDescent="0.4">
      <c r="B12" s="46" t="s">
        <v>148</v>
      </c>
      <c r="C12" s="7" t="s">
        <v>10</v>
      </c>
      <c r="D12" s="7" t="s">
        <v>15</v>
      </c>
      <c r="E12" s="8" t="s">
        <v>20</v>
      </c>
      <c r="F12" s="55">
        <f t="shared" si="0"/>
        <v>16</v>
      </c>
      <c r="H12" s="1" t="s">
        <v>2</v>
      </c>
      <c r="K12" s="1">
        <v>1.2E-4</v>
      </c>
      <c r="L12" s="1">
        <f t="shared" si="1"/>
        <v>16.000119999999999</v>
      </c>
      <c r="M12" s="1" t="str">
        <f t="shared" si="2"/>
        <v>Resistência social e medo da substituição de empregos por Inteligência Artificial</v>
      </c>
      <c r="N12" s="44">
        <f t="shared" si="3"/>
        <v>16</v>
      </c>
    </row>
    <row r="13" spans="2:15" ht="30" customHeight="1" thickTop="1" thickBot="1" x14ac:dyDescent="0.4">
      <c r="B13" s="46" t="s">
        <v>149</v>
      </c>
      <c r="C13" s="7" t="s">
        <v>10</v>
      </c>
      <c r="D13" s="7" t="s">
        <v>16</v>
      </c>
      <c r="E13" s="8" t="s">
        <v>19</v>
      </c>
      <c r="F13" s="55">
        <f t="shared" si="0"/>
        <v>6</v>
      </c>
      <c r="H13" s="45"/>
      <c r="K13" s="1">
        <v>1.1E-4</v>
      </c>
      <c r="L13" s="1">
        <f t="shared" si="1"/>
        <v>6.0001100000000003</v>
      </c>
      <c r="M13" s="1" t="str">
        <f t="shared" si="2"/>
        <v>Síndrome de burnout e esgotamento mental em profissionais de tecnologia</v>
      </c>
      <c r="N13" s="44">
        <f t="shared" si="3"/>
        <v>6</v>
      </c>
    </row>
    <row r="14" spans="2:15" ht="30" customHeight="1" thickTop="1" thickBot="1" x14ac:dyDescent="0.4">
      <c r="B14" s="2"/>
      <c r="C14" s="7"/>
      <c r="D14" s="7"/>
      <c r="E14" s="8"/>
      <c r="F14" s="55" t="str">
        <f t="shared" si="0"/>
        <v/>
      </c>
      <c r="H14" s="1" t="s">
        <v>6</v>
      </c>
      <c r="I14" s="45">
        <v>5</v>
      </c>
      <c r="K14" s="1">
        <v>1E-4</v>
      </c>
      <c r="L14" s="1" t="str">
        <f t="shared" si="1"/>
        <v/>
      </c>
      <c r="M14" s="1" t="str">
        <f t="shared" si="2"/>
        <v/>
      </c>
      <c r="N14" s="44" t="str">
        <f t="shared" si="3"/>
        <v/>
      </c>
    </row>
    <row r="15" spans="2:15" ht="30" customHeight="1" thickTop="1" thickBot="1" x14ac:dyDescent="0.4">
      <c r="B15" s="2"/>
      <c r="C15" s="7"/>
      <c r="D15" s="7"/>
      <c r="E15" s="8"/>
      <c r="F15" s="55" t="str">
        <f t="shared" si="0"/>
        <v/>
      </c>
      <c r="H15" s="1" t="s">
        <v>13</v>
      </c>
      <c r="I15" s="45">
        <v>4</v>
      </c>
      <c r="K15" s="1">
        <v>9.0000000000000006E-5</v>
      </c>
      <c r="L15" s="1" t="str">
        <f t="shared" si="1"/>
        <v/>
      </c>
      <c r="M15" s="1" t="str">
        <f t="shared" si="2"/>
        <v/>
      </c>
      <c r="N15" s="44" t="str">
        <f t="shared" si="3"/>
        <v/>
      </c>
    </row>
    <row r="16" spans="2:15" ht="30" customHeight="1" thickTop="1" thickBot="1" x14ac:dyDescent="0.4">
      <c r="B16" s="2"/>
      <c r="C16" s="7"/>
      <c r="D16" s="7"/>
      <c r="E16" s="8"/>
      <c r="F16" s="55" t="str">
        <f t="shared" si="0"/>
        <v/>
      </c>
      <c r="H16" s="1" t="s">
        <v>14</v>
      </c>
      <c r="I16" s="45">
        <v>3</v>
      </c>
      <c r="K16" s="1">
        <v>8.0000000000000007E-5</v>
      </c>
      <c r="L16" s="1" t="str">
        <f t="shared" si="1"/>
        <v/>
      </c>
      <c r="M16" s="1" t="str">
        <f t="shared" si="2"/>
        <v/>
      </c>
      <c r="N16" s="44" t="str">
        <f t="shared" si="3"/>
        <v/>
      </c>
    </row>
    <row r="17" spans="2:14" ht="30" customHeight="1" thickTop="1" thickBot="1" x14ac:dyDescent="0.4">
      <c r="B17" s="2"/>
      <c r="C17" s="7"/>
      <c r="D17" s="7"/>
      <c r="E17" s="8"/>
      <c r="F17" s="55" t="str">
        <f t="shared" si="0"/>
        <v/>
      </c>
      <c r="H17" s="1" t="s">
        <v>15</v>
      </c>
      <c r="I17" s="45">
        <v>2</v>
      </c>
      <c r="K17" s="1">
        <v>6.9999999999999994E-5</v>
      </c>
      <c r="L17" s="1" t="str">
        <f t="shared" si="1"/>
        <v/>
      </c>
      <c r="M17" s="1" t="str">
        <f t="shared" si="2"/>
        <v/>
      </c>
      <c r="N17" s="44" t="str">
        <f t="shared" si="3"/>
        <v/>
      </c>
    </row>
    <row r="18" spans="2:14" ht="30" customHeight="1" thickTop="1" thickBot="1" x14ac:dyDescent="0.4">
      <c r="B18" s="2"/>
      <c r="C18" s="7"/>
      <c r="D18" s="7"/>
      <c r="E18" s="8"/>
      <c r="F18" s="55" t="str">
        <f t="shared" si="0"/>
        <v/>
      </c>
      <c r="H18" s="1" t="s">
        <v>16</v>
      </c>
      <c r="I18" s="45">
        <v>1</v>
      </c>
      <c r="K18" s="1">
        <v>6.0000000000000002E-5</v>
      </c>
      <c r="L18" s="1" t="str">
        <f t="shared" si="1"/>
        <v/>
      </c>
      <c r="M18" s="1" t="str">
        <f t="shared" si="2"/>
        <v/>
      </c>
      <c r="N18" s="44" t="str">
        <f t="shared" si="3"/>
        <v/>
      </c>
    </row>
    <row r="19" spans="2:14" ht="30" customHeight="1" thickTop="1" thickBot="1" x14ac:dyDescent="0.4">
      <c r="B19" s="2"/>
      <c r="C19" s="7"/>
      <c r="D19" s="7"/>
      <c r="E19" s="8"/>
      <c r="F19" s="55" t="str">
        <f t="shared" si="0"/>
        <v/>
      </c>
      <c r="K19" s="1">
        <v>5.0000000000000002E-5</v>
      </c>
      <c r="L19" s="1" t="str">
        <f t="shared" si="1"/>
        <v/>
      </c>
      <c r="M19" s="1" t="str">
        <f t="shared" si="2"/>
        <v/>
      </c>
      <c r="N19" s="44" t="str">
        <f t="shared" si="3"/>
        <v/>
      </c>
    </row>
    <row r="20" spans="2:14" ht="30" customHeight="1" thickTop="1" thickBot="1" x14ac:dyDescent="0.4">
      <c r="B20" s="2"/>
      <c r="C20" s="7"/>
      <c r="D20" s="7"/>
      <c r="E20" s="8"/>
      <c r="F20" s="55" t="str">
        <f t="shared" si="0"/>
        <v/>
      </c>
      <c r="H20" s="1" t="s">
        <v>3</v>
      </c>
      <c r="K20" s="1">
        <v>4.0000000000000003E-5</v>
      </c>
      <c r="L20" s="1" t="str">
        <f t="shared" si="1"/>
        <v/>
      </c>
      <c r="M20" s="1" t="str">
        <f t="shared" si="2"/>
        <v/>
      </c>
      <c r="N20" s="44" t="str">
        <f t="shared" si="3"/>
        <v/>
      </c>
    </row>
    <row r="21" spans="2:14" ht="30" customHeight="1" thickTop="1" thickBot="1" x14ac:dyDescent="0.4">
      <c r="B21" s="2"/>
      <c r="C21" s="7"/>
      <c r="D21" s="7"/>
      <c r="E21" s="8"/>
      <c r="F21" s="55" t="str">
        <f t="shared" si="0"/>
        <v/>
      </c>
      <c r="H21" s="45"/>
      <c r="K21" s="1">
        <v>3.0000000000000001E-5</v>
      </c>
      <c r="L21" s="1" t="str">
        <f t="shared" si="1"/>
        <v/>
      </c>
      <c r="M21" s="1" t="str">
        <f t="shared" si="2"/>
        <v/>
      </c>
      <c r="N21" s="44" t="str">
        <f t="shared" si="3"/>
        <v/>
      </c>
    </row>
    <row r="22" spans="2:14" ht="30" customHeight="1" thickTop="1" thickBot="1" x14ac:dyDescent="0.4">
      <c r="B22" s="2"/>
      <c r="C22" s="7"/>
      <c r="D22" s="7"/>
      <c r="E22" s="8"/>
      <c r="F22" s="55" t="str">
        <f t="shared" si="0"/>
        <v/>
      </c>
      <c r="H22" s="1" t="s">
        <v>7</v>
      </c>
      <c r="I22" s="45">
        <v>1</v>
      </c>
      <c r="K22" s="1">
        <v>2.0000000000000002E-5</v>
      </c>
      <c r="L22" s="1" t="str">
        <f t="shared" si="1"/>
        <v/>
      </c>
      <c r="M22" s="1" t="str">
        <f t="shared" si="2"/>
        <v/>
      </c>
      <c r="N22" s="44" t="str">
        <f t="shared" si="3"/>
        <v/>
      </c>
    </row>
    <row r="23" spans="2:14" ht="30" customHeight="1" thickTop="1" thickBot="1" x14ac:dyDescent="0.4">
      <c r="B23" s="2"/>
      <c r="C23" s="7"/>
      <c r="D23" s="7"/>
      <c r="E23" s="8"/>
      <c r="F23" s="55" t="str">
        <f t="shared" si="0"/>
        <v/>
      </c>
      <c r="H23" s="1" t="s">
        <v>17</v>
      </c>
      <c r="I23" s="45">
        <v>2</v>
      </c>
      <c r="K23" s="1">
        <v>1.0000000000000001E-5</v>
      </c>
      <c r="L23" s="1" t="str">
        <f t="shared" si="1"/>
        <v/>
      </c>
      <c r="M23" s="1" t="str">
        <f t="shared" si="2"/>
        <v/>
      </c>
      <c r="N23" s="44" t="str">
        <f t="shared" si="3"/>
        <v/>
      </c>
    </row>
    <row r="24" spans="2:14" ht="30" customHeight="1" thickTop="1" thickBot="1" x14ac:dyDescent="0.4">
      <c r="B24" s="94" t="s">
        <v>24</v>
      </c>
      <c r="C24" s="94"/>
      <c r="D24" s="95"/>
      <c r="E24" s="56" t="s">
        <v>18</v>
      </c>
      <c r="F24" s="57">
        <f>SUM(F4:F23)</f>
        <v>329</v>
      </c>
      <c r="H24" s="1" t="s">
        <v>19</v>
      </c>
      <c r="I24" s="45">
        <v>3</v>
      </c>
      <c r="N24" s="44"/>
    </row>
    <row r="25" spans="2:14" ht="30" customHeight="1" thickTop="1" x14ac:dyDescent="0.35">
      <c r="H25" s="1" t="s">
        <v>20</v>
      </c>
      <c r="I25" s="45">
        <v>4</v>
      </c>
    </row>
    <row r="26" spans="2:14" ht="30" customHeight="1" x14ac:dyDescent="0.35">
      <c r="H26" s="1" t="s">
        <v>21</v>
      </c>
      <c r="I26" s="45">
        <v>5</v>
      </c>
    </row>
    <row r="27" spans="2:14" ht="30" customHeight="1" x14ac:dyDescent="0.35"/>
    <row r="28" spans="2:14" ht="30" customHeight="1" x14ac:dyDescent="0.35"/>
    <row r="29" spans="2:14" ht="30" customHeight="1" x14ac:dyDescent="0.35"/>
    <row r="30" spans="2:14" ht="30" customHeight="1" x14ac:dyDescent="0.35"/>
    <row r="31" spans="2:14" ht="30" customHeight="1" x14ac:dyDescent="0.35"/>
    <row r="32" spans="2:14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</sheetData>
  <sheetProtection formatCells="0" formatColumns="0" formatRows="0" selectLockedCells="1" autoFilter="0"/>
  <mergeCells count="1">
    <mergeCell ref="B24:D24"/>
  </mergeCells>
  <conditionalFormatting sqref="C4:C23">
    <cfRule type="containsText" dxfId="35" priority="9" operator="containsText" text="Pouco">
      <formula>NOT(ISERROR(SEARCH("Pouco",C4)))</formula>
    </cfRule>
    <cfRule type="containsText" dxfId="34" priority="10" operator="containsText" text="Sem">
      <formula>NOT(ISERROR(SEARCH("Sem",C4)))</formula>
    </cfRule>
    <cfRule type="containsText" dxfId="33" priority="11" operator="containsText" text="Muito">
      <formula>NOT(ISERROR(SEARCH("Muito",C4)))</formula>
    </cfRule>
    <cfRule type="containsText" dxfId="32" priority="12" operator="containsText" text="Totalmente">
      <formula>NOT(ISERROR(SEARCH("Totalmente",C4)))</formula>
    </cfRule>
  </conditionalFormatting>
  <conditionalFormatting sqref="D4:D23">
    <cfRule type="containsText" dxfId="31" priority="5" operator="containsText" text="Muito fraca">
      <formula>NOT(ISERROR(SEARCH("Muito fraca",D4)))</formula>
    </cfRule>
    <cfRule type="containsText" dxfId="30" priority="6" operator="containsText" text="Fraca">
      <formula>NOT(ISERROR(SEARCH("Fraca",D4)))</formula>
    </cfRule>
    <cfRule type="containsText" dxfId="29" priority="7" operator="containsText" text="Muito forte">
      <formula>NOT(ISERROR(SEARCH("Muito forte",D4)))</formula>
    </cfRule>
    <cfRule type="containsText" dxfId="28" priority="8" operator="containsText" text="Forte">
      <formula>NOT(ISERROR(SEARCH("Forte",D4)))</formula>
    </cfRule>
  </conditionalFormatting>
  <conditionalFormatting sqref="E4:E23">
    <cfRule type="containsText" dxfId="27" priority="1" operator="containsText" text="Piora muito">
      <formula>NOT(ISERROR(SEARCH("Piora muito",E4)))</formula>
    </cfRule>
    <cfRule type="containsText" dxfId="26" priority="2" operator="containsText" text="Piora">
      <formula>NOT(ISERROR(SEARCH("Piora",E4)))</formula>
    </cfRule>
    <cfRule type="containsText" dxfId="25" priority="3" operator="containsText" text="Melhora muito">
      <formula>NOT(ISERROR(SEARCH("Melhora muito",E4)))</formula>
    </cfRule>
    <cfRule type="containsText" dxfId="24" priority="4" operator="containsText" text="Melhora">
      <formula>NOT(ISERROR(SEARCH("Melhora",E4)))</formula>
    </cfRule>
  </conditionalFormatting>
  <dataValidations count="3">
    <dataValidation type="list" allowBlank="1" showInputMessage="1" showErrorMessage="1" sqref="E4:E23" xr:uid="{00000000-0002-0000-0500-000000000000}">
      <formula1>$H$22:$H$26</formula1>
    </dataValidation>
    <dataValidation type="list" allowBlank="1" showInputMessage="1" showErrorMessage="1" sqref="D4:D23" xr:uid="{00000000-0002-0000-0500-000001000000}">
      <formula1>$H$14:$H$18</formula1>
    </dataValidation>
    <dataValidation type="list" allowBlank="1" showInputMessage="1" showErrorMessage="1" sqref="C4:C23" xr:uid="{00000000-0002-0000-0500-000002000000}">
      <formula1>$H$6:$H$10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5"/>
  <dimension ref="B1:O97"/>
  <sheetViews>
    <sheetView showGridLines="0" zoomScale="70" zoomScaleNormal="70" workbookViewId="0">
      <selection activeCell="B15" sqref="B15"/>
    </sheetView>
  </sheetViews>
  <sheetFormatPr defaultColWidth="8.81640625" defaultRowHeight="0" customHeight="1" zeroHeight="1" x14ac:dyDescent="0.35"/>
  <cols>
    <col min="1" max="1" width="3.81640625" customWidth="1"/>
    <col min="2" max="2" width="98.26953125" customWidth="1"/>
    <col min="3" max="6" width="41.26953125" customWidth="1"/>
    <col min="7" max="7" width="8.81640625" style="4"/>
    <col min="8" max="15" width="8.81640625" style="1"/>
  </cols>
  <sheetData>
    <row r="1" spans="2:15" s="73" customFormat="1" ht="34" customHeight="1" x14ac:dyDescent="0.55000000000000004">
      <c r="B1" s="76"/>
      <c r="G1" s="75"/>
      <c r="H1" s="74"/>
      <c r="I1" s="74"/>
      <c r="J1" s="74"/>
      <c r="K1" s="74"/>
      <c r="L1" s="74"/>
      <c r="M1" s="74"/>
      <c r="N1" s="74"/>
      <c r="O1" s="74"/>
    </row>
    <row r="2" spans="2:15" ht="30" customHeight="1" thickBot="1" x14ac:dyDescent="0.4"/>
    <row r="3" spans="2:15" ht="30" customHeight="1" thickTop="1" thickBot="1" x14ac:dyDescent="0.4">
      <c r="B3" s="51" t="s">
        <v>117</v>
      </c>
      <c r="C3" s="53" t="s">
        <v>1</v>
      </c>
      <c r="D3" s="53" t="s">
        <v>2</v>
      </c>
      <c r="E3" s="53" t="s">
        <v>3</v>
      </c>
      <c r="F3" s="54" t="s">
        <v>4</v>
      </c>
      <c r="G3" s="5"/>
      <c r="H3" s="6"/>
      <c r="I3" s="6"/>
      <c r="J3" s="6"/>
      <c r="K3" s="6"/>
      <c r="L3" s="6"/>
      <c r="M3" s="6"/>
      <c r="N3" s="6"/>
    </row>
    <row r="4" spans="2:15" ht="30" customHeight="1" thickTop="1" thickBot="1" x14ac:dyDescent="0.4">
      <c r="B4" s="46" t="s">
        <v>150</v>
      </c>
      <c r="C4" s="7" t="s">
        <v>5</v>
      </c>
      <c r="D4" s="7" t="s">
        <v>6</v>
      </c>
      <c r="E4" s="8" t="s">
        <v>7</v>
      </c>
      <c r="F4" s="55">
        <f>IF(ISERROR(VLOOKUP(C4,$H$6:$I$10,2,FALSE)*VLOOKUP(D4,$H$14:$I$18,2,FALSE)*VLOOKUP(E4,$H$22:$I$26,2,FALSE)),"",VLOOKUP(C4,$H$6:$I$10,2,FALSE)*VLOOKUP(D4,$H$14:$I$18,2,FALSE)*VLOOKUP(E4,$H$22:$I$26,2,FALSE))</f>
        <v>25</v>
      </c>
      <c r="H4" s="1" t="s">
        <v>1</v>
      </c>
      <c r="K4" s="1">
        <v>2.0000000000000001E-4</v>
      </c>
      <c r="L4" s="1">
        <f>IF(F4="","",F4+K4)</f>
        <v>25.0002</v>
      </c>
      <c r="M4" s="1" t="str">
        <f>IF(B4=0,"",B4)</f>
        <v>Rápida evolução e surgimento de novas ferramentas de Inteligência Artificial</v>
      </c>
      <c r="N4" s="44">
        <f>F4</f>
        <v>25</v>
      </c>
    </row>
    <row r="5" spans="2:15" ht="30" customHeight="1" thickTop="1" thickBot="1" x14ac:dyDescent="0.4">
      <c r="B5" s="46" t="s">
        <v>151</v>
      </c>
      <c r="C5" s="47" t="s">
        <v>5</v>
      </c>
      <c r="D5" s="47" t="s">
        <v>6</v>
      </c>
      <c r="E5" s="48" t="s">
        <v>7</v>
      </c>
      <c r="F5" s="55">
        <f t="shared" ref="F5:F23" si="0">IF(ISERROR(VLOOKUP(C5,$H$6:$I$10,2,FALSE)*VLOOKUP(D5,$H$14:$I$18,2,FALSE)*VLOOKUP(E5,$H$22:$I$26,2,FALSE)),"",VLOOKUP(C5,$H$6:$I$10,2,FALSE)*VLOOKUP(D5,$H$14:$I$18,2,FALSE)*VLOOKUP(E5,$H$22:$I$26,2,FALSE))</f>
        <v>25</v>
      </c>
      <c r="G5" s="10"/>
      <c r="H5" s="45"/>
      <c r="K5" s="1">
        <v>1.9000000000000001E-4</v>
      </c>
      <c r="L5" s="1">
        <f t="shared" ref="L5:L23" si="1">IF(F5="","",F5+K5)</f>
        <v>25.00019</v>
      </c>
      <c r="M5" s="1" t="str">
        <f t="shared" ref="M5:M23" si="2">IF(B5=0,"",B5)</f>
        <v>Crescimento da necessidade de plataformas de Governança de Dados e IA</v>
      </c>
      <c r="N5" s="44">
        <f t="shared" ref="N5:N23" si="3">F5</f>
        <v>25</v>
      </c>
    </row>
    <row r="6" spans="2:15" ht="30" customHeight="1" thickTop="1" thickBot="1" x14ac:dyDescent="0.4">
      <c r="B6" s="46" t="s">
        <v>152</v>
      </c>
      <c r="C6" s="7" t="s">
        <v>11</v>
      </c>
      <c r="D6" s="7" t="s">
        <v>13</v>
      </c>
      <c r="E6" s="8" t="s">
        <v>17</v>
      </c>
      <c r="F6" s="55">
        <f t="shared" si="0"/>
        <v>24</v>
      </c>
      <c r="G6" s="11"/>
      <c r="H6" s="1" t="s">
        <v>9</v>
      </c>
      <c r="I6" s="45">
        <v>1</v>
      </c>
      <c r="K6" s="1">
        <v>1.8000000000000001E-4</v>
      </c>
      <c r="L6" s="1">
        <f t="shared" si="1"/>
        <v>24.00018</v>
      </c>
      <c r="M6" s="1" t="str">
        <f t="shared" si="2"/>
        <v>Evolução dos ecossistemas de Cloud e Data Lakehouses (Databricks, Snowflake)</v>
      </c>
      <c r="N6" s="44">
        <f t="shared" si="3"/>
        <v>24</v>
      </c>
    </row>
    <row r="7" spans="2:15" ht="30" customHeight="1" thickTop="1" thickBot="1" x14ac:dyDescent="0.4">
      <c r="B7" s="46" t="s">
        <v>153</v>
      </c>
      <c r="C7" s="7" t="s">
        <v>11</v>
      </c>
      <c r="D7" s="7" t="s">
        <v>13</v>
      </c>
      <c r="E7" s="8" t="s">
        <v>20</v>
      </c>
      <c r="F7" s="55">
        <f t="shared" si="0"/>
        <v>48</v>
      </c>
      <c r="H7" s="1" t="s">
        <v>10</v>
      </c>
      <c r="I7" s="45">
        <v>2</v>
      </c>
      <c r="K7" s="1">
        <v>1.7000000000000001E-4</v>
      </c>
      <c r="L7" s="1">
        <f t="shared" si="1"/>
        <v>48.000169999999997</v>
      </c>
      <c r="M7" s="1" t="str">
        <f t="shared" si="2"/>
        <v>Aumento da complexidade na integração de múltiplas plataformas (Salesforce, Oracle, etc.)</v>
      </c>
      <c r="N7" s="44">
        <f t="shared" si="3"/>
        <v>48</v>
      </c>
    </row>
    <row r="8" spans="2:15" ht="30" customHeight="1" thickTop="1" thickBot="1" x14ac:dyDescent="0.4">
      <c r="B8" s="46" t="s">
        <v>154</v>
      </c>
      <c r="C8" s="7" t="s">
        <v>11</v>
      </c>
      <c r="D8" s="7" t="s">
        <v>14</v>
      </c>
      <c r="E8" s="8" t="s">
        <v>17</v>
      </c>
      <c r="F8" s="55">
        <f t="shared" si="0"/>
        <v>18</v>
      </c>
      <c r="H8" s="1" t="s">
        <v>11</v>
      </c>
      <c r="I8" s="45">
        <v>3</v>
      </c>
      <c r="K8" s="1">
        <v>1.6000000000000001E-4</v>
      </c>
      <c r="L8" s="1">
        <f t="shared" si="1"/>
        <v>18.000160000000001</v>
      </c>
      <c r="M8" s="1" t="str">
        <f t="shared" si="2"/>
        <v>Democratização do Self-Service BI exigindo mais controle e monitoramento</v>
      </c>
      <c r="N8" s="44">
        <f t="shared" si="3"/>
        <v>18</v>
      </c>
    </row>
    <row r="9" spans="2:15" ht="30" customHeight="1" thickTop="1" thickBot="1" x14ac:dyDescent="0.4">
      <c r="B9" s="46" t="s">
        <v>155</v>
      </c>
      <c r="C9" s="7" t="s">
        <v>9</v>
      </c>
      <c r="D9" s="7" t="s">
        <v>14</v>
      </c>
      <c r="E9" s="8" t="s">
        <v>17</v>
      </c>
      <c r="F9" s="55">
        <f t="shared" si="0"/>
        <v>6</v>
      </c>
      <c r="H9" s="1" t="s">
        <v>12</v>
      </c>
      <c r="I9" s="45">
        <v>4</v>
      </c>
      <c r="K9" s="1">
        <v>1.4999999999999999E-4</v>
      </c>
      <c r="L9" s="1">
        <f t="shared" si="1"/>
        <v>6.0001499999999997</v>
      </c>
      <c r="M9" s="1" t="str">
        <f t="shared" si="2"/>
        <v>Automação de pipelines de dados, Machine Learning e DataOps</v>
      </c>
      <c r="N9" s="44">
        <f t="shared" si="3"/>
        <v>6</v>
      </c>
    </row>
    <row r="10" spans="2:15" ht="30" customHeight="1" thickTop="1" thickBot="1" x14ac:dyDescent="0.4">
      <c r="B10" s="46" t="s">
        <v>156</v>
      </c>
      <c r="C10" s="7" t="s">
        <v>9</v>
      </c>
      <c r="D10" s="7" t="s">
        <v>14</v>
      </c>
      <c r="E10" s="8" t="s">
        <v>17</v>
      </c>
      <c r="F10" s="55">
        <f t="shared" si="0"/>
        <v>6</v>
      </c>
      <c r="H10" s="1" t="s">
        <v>5</v>
      </c>
      <c r="I10" s="45">
        <v>5</v>
      </c>
      <c r="K10" s="1">
        <v>1.3999999999999999E-4</v>
      </c>
      <c r="L10" s="1">
        <f t="shared" si="1"/>
        <v>6.00014</v>
      </c>
      <c r="M10" s="1" t="str">
        <f t="shared" si="2"/>
        <v>Avanços em cibersegurança para mitigar riscos de ferramentas não homologadas</v>
      </c>
      <c r="N10" s="44">
        <f t="shared" si="3"/>
        <v>6</v>
      </c>
    </row>
    <row r="11" spans="2:15" ht="30" customHeight="1" thickTop="1" thickBot="1" x14ac:dyDescent="0.4">
      <c r="B11" s="46" t="s">
        <v>157</v>
      </c>
      <c r="C11" s="7" t="s">
        <v>9</v>
      </c>
      <c r="D11" s="7" t="s">
        <v>14</v>
      </c>
      <c r="E11" s="8" t="s">
        <v>20</v>
      </c>
      <c r="F11" s="55">
        <f t="shared" si="0"/>
        <v>12</v>
      </c>
      <c r="K11" s="1">
        <v>1.2999999999999999E-4</v>
      </c>
      <c r="L11" s="1">
        <f t="shared" si="1"/>
        <v>12.00013</v>
      </c>
      <c r="M11" s="1" t="str">
        <f t="shared" si="2"/>
        <v>Rápida obsolescência técnica de softwares e necessidade de atualização</v>
      </c>
      <c r="N11" s="44">
        <f t="shared" si="3"/>
        <v>12</v>
      </c>
    </row>
    <row r="12" spans="2:15" ht="30" customHeight="1" thickTop="1" thickBot="1" x14ac:dyDescent="0.4">
      <c r="B12" s="46" t="s">
        <v>158</v>
      </c>
      <c r="C12" s="7" t="s">
        <v>10</v>
      </c>
      <c r="D12" s="7" t="s">
        <v>15</v>
      </c>
      <c r="E12" s="8" t="s">
        <v>19</v>
      </c>
      <c r="F12" s="55">
        <f t="shared" si="0"/>
        <v>12</v>
      </c>
      <c r="H12" s="1" t="s">
        <v>2</v>
      </c>
      <c r="K12" s="1">
        <v>1.2E-4</v>
      </c>
      <c r="L12" s="1">
        <f t="shared" si="1"/>
        <v>12.000120000000001</v>
      </c>
      <c r="M12" s="1" t="str">
        <f t="shared" si="2"/>
        <v>Transição de ferramentas proprietárias para soluções baseadas em Open Source</v>
      </c>
      <c r="N12" s="44">
        <f t="shared" si="3"/>
        <v>12</v>
      </c>
    </row>
    <row r="13" spans="2:15" ht="30" customHeight="1" thickTop="1" thickBot="1" x14ac:dyDescent="0.4">
      <c r="B13" s="46" t="s">
        <v>159</v>
      </c>
      <c r="C13" s="7" t="s">
        <v>10</v>
      </c>
      <c r="D13" s="7" t="s">
        <v>16</v>
      </c>
      <c r="E13" s="8" t="s">
        <v>19</v>
      </c>
      <c r="F13" s="55">
        <f t="shared" si="0"/>
        <v>6</v>
      </c>
      <c r="H13" s="45"/>
      <c r="K13" s="1">
        <v>1.1E-4</v>
      </c>
      <c r="L13" s="1">
        <f t="shared" si="1"/>
        <v>6.0001100000000003</v>
      </c>
      <c r="M13" s="1" t="str">
        <f t="shared" si="2"/>
        <v>Avanços em Edge Computing e processamento descentralizado de dados</v>
      </c>
      <c r="N13" s="44">
        <f t="shared" si="3"/>
        <v>6</v>
      </c>
    </row>
    <row r="14" spans="2:15" ht="30" customHeight="1" thickTop="1" thickBot="1" x14ac:dyDescent="0.4">
      <c r="B14" s="2"/>
      <c r="C14" s="7"/>
      <c r="D14" s="7"/>
      <c r="E14" s="8"/>
      <c r="F14" s="55" t="str">
        <f t="shared" si="0"/>
        <v/>
      </c>
      <c r="H14" s="1" t="s">
        <v>6</v>
      </c>
      <c r="I14" s="45">
        <v>5</v>
      </c>
      <c r="K14" s="1">
        <v>1E-4</v>
      </c>
      <c r="L14" s="1" t="str">
        <f t="shared" si="1"/>
        <v/>
      </c>
      <c r="M14" s="1" t="str">
        <f t="shared" si="2"/>
        <v/>
      </c>
      <c r="N14" s="44" t="str">
        <f t="shared" si="3"/>
        <v/>
      </c>
    </row>
    <row r="15" spans="2:15" ht="30" customHeight="1" thickTop="1" thickBot="1" x14ac:dyDescent="0.4">
      <c r="B15" s="2"/>
      <c r="C15" s="7"/>
      <c r="D15" s="7"/>
      <c r="E15" s="8"/>
      <c r="F15" s="55" t="str">
        <f t="shared" si="0"/>
        <v/>
      </c>
      <c r="H15" s="1" t="s">
        <v>13</v>
      </c>
      <c r="I15" s="45">
        <v>4</v>
      </c>
      <c r="K15" s="1">
        <v>9.0000000000000006E-5</v>
      </c>
      <c r="L15" s="1" t="str">
        <f t="shared" si="1"/>
        <v/>
      </c>
      <c r="M15" s="1" t="str">
        <f t="shared" si="2"/>
        <v/>
      </c>
      <c r="N15" s="44" t="str">
        <f t="shared" si="3"/>
        <v/>
      </c>
    </row>
    <row r="16" spans="2:15" ht="30" customHeight="1" thickTop="1" thickBot="1" x14ac:dyDescent="0.4">
      <c r="B16" s="2"/>
      <c r="C16" s="7"/>
      <c r="D16" s="7"/>
      <c r="E16" s="8"/>
      <c r="F16" s="55" t="str">
        <f t="shared" si="0"/>
        <v/>
      </c>
      <c r="H16" s="1" t="s">
        <v>14</v>
      </c>
      <c r="I16" s="45">
        <v>3</v>
      </c>
      <c r="K16" s="1">
        <v>8.0000000000000007E-5</v>
      </c>
      <c r="L16" s="1" t="str">
        <f t="shared" si="1"/>
        <v/>
      </c>
      <c r="M16" s="1" t="str">
        <f t="shared" si="2"/>
        <v/>
      </c>
      <c r="N16" s="44" t="str">
        <f t="shared" si="3"/>
        <v/>
      </c>
    </row>
    <row r="17" spans="2:14" ht="30" customHeight="1" thickTop="1" thickBot="1" x14ac:dyDescent="0.4">
      <c r="B17" s="2"/>
      <c r="C17" s="7"/>
      <c r="D17" s="7"/>
      <c r="E17" s="8"/>
      <c r="F17" s="55" t="str">
        <f t="shared" si="0"/>
        <v/>
      </c>
      <c r="H17" s="1" t="s">
        <v>15</v>
      </c>
      <c r="I17" s="45">
        <v>2</v>
      </c>
      <c r="K17" s="1">
        <v>6.9999999999999994E-5</v>
      </c>
      <c r="L17" s="1" t="str">
        <f t="shared" si="1"/>
        <v/>
      </c>
      <c r="M17" s="1" t="str">
        <f t="shared" si="2"/>
        <v/>
      </c>
      <c r="N17" s="44" t="str">
        <f t="shared" si="3"/>
        <v/>
      </c>
    </row>
    <row r="18" spans="2:14" ht="30" customHeight="1" thickTop="1" thickBot="1" x14ac:dyDescent="0.4">
      <c r="B18" s="2"/>
      <c r="C18" s="7"/>
      <c r="D18" s="7"/>
      <c r="E18" s="8"/>
      <c r="F18" s="55" t="str">
        <f t="shared" si="0"/>
        <v/>
      </c>
      <c r="H18" s="1" t="s">
        <v>16</v>
      </c>
      <c r="I18" s="45">
        <v>1</v>
      </c>
      <c r="K18" s="1">
        <v>6.0000000000000002E-5</v>
      </c>
      <c r="L18" s="1" t="str">
        <f t="shared" si="1"/>
        <v/>
      </c>
      <c r="M18" s="1" t="str">
        <f t="shared" si="2"/>
        <v/>
      </c>
      <c r="N18" s="44" t="str">
        <f t="shared" si="3"/>
        <v/>
      </c>
    </row>
    <row r="19" spans="2:14" ht="30" customHeight="1" thickTop="1" thickBot="1" x14ac:dyDescent="0.4">
      <c r="B19" s="2"/>
      <c r="C19" s="7"/>
      <c r="D19" s="7"/>
      <c r="E19" s="8"/>
      <c r="F19" s="55" t="str">
        <f t="shared" si="0"/>
        <v/>
      </c>
      <c r="K19" s="1">
        <v>5.0000000000000002E-5</v>
      </c>
      <c r="L19" s="1" t="str">
        <f t="shared" si="1"/>
        <v/>
      </c>
      <c r="M19" s="1" t="str">
        <f t="shared" si="2"/>
        <v/>
      </c>
      <c r="N19" s="44" t="str">
        <f t="shared" si="3"/>
        <v/>
      </c>
    </row>
    <row r="20" spans="2:14" ht="30" customHeight="1" thickTop="1" thickBot="1" x14ac:dyDescent="0.4">
      <c r="B20" s="2"/>
      <c r="C20" s="7"/>
      <c r="D20" s="7"/>
      <c r="E20" s="8"/>
      <c r="F20" s="55" t="str">
        <f t="shared" si="0"/>
        <v/>
      </c>
      <c r="H20" s="1" t="s">
        <v>3</v>
      </c>
      <c r="K20" s="1">
        <v>4.0000000000000003E-5</v>
      </c>
      <c r="L20" s="1" t="str">
        <f t="shared" si="1"/>
        <v/>
      </c>
      <c r="M20" s="1" t="str">
        <f t="shared" si="2"/>
        <v/>
      </c>
      <c r="N20" s="44" t="str">
        <f t="shared" si="3"/>
        <v/>
      </c>
    </row>
    <row r="21" spans="2:14" ht="30" customHeight="1" thickTop="1" thickBot="1" x14ac:dyDescent="0.4">
      <c r="B21" s="2"/>
      <c r="C21" s="7"/>
      <c r="D21" s="7"/>
      <c r="E21" s="8"/>
      <c r="F21" s="55" t="str">
        <f t="shared" si="0"/>
        <v/>
      </c>
      <c r="H21" s="45"/>
      <c r="K21" s="1">
        <v>3.0000000000000001E-5</v>
      </c>
      <c r="L21" s="1" t="str">
        <f t="shared" si="1"/>
        <v/>
      </c>
      <c r="M21" s="1" t="str">
        <f t="shared" si="2"/>
        <v/>
      </c>
      <c r="N21" s="44" t="str">
        <f t="shared" si="3"/>
        <v/>
      </c>
    </row>
    <row r="22" spans="2:14" ht="30" customHeight="1" thickTop="1" thickBot="1" x14ac:dyDescent="0.4">
      <c r="B22" s="2"/>
      <c r="C22" s="7"/>
      <c r="D22" s="7"/>
      <c r="E22" s="8"/>
      <c r="F22" s="55" t="str">
        <f t="shared" si="0"/>
        <v/>
      </c>
      <c r="H22" s="1" t="s">
        <v>7</v>
      </c>
      <c r="I22" s="45">
        <v>1</v>
      </c>
      <c r="K22" s="1">
        <v>2.0000000000000002E-5</v>
      </c>
      <c r="L22" s="1" t="str">
        <f t="shared" si="1"/>
        <v/>
      </c>
      <c r="M22" s="1" t="str">
        <f t="shared" si="2"/>
        <v/>
      </c>
      <c r="N22" s="44" t="str">
        <f t="shared" si="3"/>
        <v/>
      </c>
    </row>
    <row r="23" spans="2:14" ht="30" customHeight="1" thickTop="1" thickBot="1" x14ac:dyDescent="0.4">
      <c r="B23" s="2"/>
      <c r="C23" s="7"/>
      <c r="D23" s="7"/>
      <c r="E23" s="8"/>
      <c r="F23" s="55" t="str">
        <f t="shared" si="0"/>
        <v/>
      </c>
      <c r="H23" s="1" t="s">
        <v>17</v>
      </c>
      <c r="I23" s="45">
        <v>2</v>
      </c>
      <c r="K23" s="1">
        <v>1.0000000000000001E-5</v>
      </c>
      <c r="L23" s="1" t="str">
        <f t="shared" si="1"/>
        <v/>
      </c>
      <c r="M23" s="1" t="str">
        <f t="shared" si="2"/>
        <v/>
      </c>
      <c r="N23" s="44" t="str">
        <f t="shared" si="3"/>
        <v/>
      </c>
    </row>
    <row r="24" spans="2:14" ht="30" customHeight="1" thickTop="1" thickBot="1" x14ac:dyDescent="0.4">
      <c r="B24" s="94" t="s">
        <v>25</v>
      </c>
      <c r="C24" s="94"/>
      <c r="D24" s="95"/>
      <c r="E24" s="56" t="s">
        <v>18</v>
      </c>
      <c r="F24" s="57">
        <f>SUM(F4:F23)</f>
        <v>182</v>
      </c>
      <c r="H24" s="1" t="s">
        <v>19</v>
      </c>
      <c r="I24" s="45">
        <v>3</v>
      </c>
      <c r="N24" s="44"/>
    </row>
    <row r="25" spans="2:14" ht="30" customHeight="1" thickTop="1" x14ac:dyDescent="0.35">
      <c r="H25" s="1" t="s">
        <v>20</v>
      </c>
      <c r="I25" s="45">
        <v>4</v>
      </c>
    </row>
    <row r="26" spans="2:14" ht="30" customHeight="1" x14ac:dyDescent="0.35">
      <c r="H26" s="1" t="s">
        <v>21</v>
      </c>
      <c r="I26" s="45">
        <v>5</v>
      </c>
    </row>
    <row r="27" spans="2:14" ht="30" customHeight="1" x14ac:dyDescent="0.35"/>
    <row r="28" spans="2:14" ht="30" customHeight="1" x14ac:dyDescent="0.35"/>
    <row r="29" spans="2:14" ht="30" customHeight="1" x14ac:dyDescent="0.35"/>
    <row r="30" spans="2:14" ht="30" customHeight="1" x14ac:dyDescent="0.35"/>
    <row r="31" spans="2:14" ht="30" customHeight="1" x14ac:dyDescent="0.35"/>
    <row r="32" spans="2:14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</sheetData>
  <sheetProtection formatCells="0" formatColumns="0" formatRows="0" selectLockedCells="1" autoFilter="0"/>
  <mergeCells count="1">
    <mergeCell ref="B24:D24"/>
  </mergeCells>
  <conditionalFormatting sqref="C4:C23">
    <cfRule type="containsText" dxfId="23" priority="9" operator="containsText" text="Pouco">
      <formula>NOT(ISERROR(SEARCH("Pouco",C4)))</formula>
    </cfRule>
    <cfRule type="containsText" dxfId="22" priority="10" operator="containsText" text="Sem">
      <formula>NOT(ISERROR(SEARCH("Sem",C4)))</formula>
    </cfRule>
    <cfRule type="containsText" dxfId="21" priority="11" operator="containsText" text="Muito">
      <formula>NOT(ISERROR(SEARCH("Muito",C4)))</formula>
    </cfRule>
    <cfRule type="containsText" dxfId="20" priority="12" operator="containsText" text="Totalmente">
      <formula>NOT(ISERROR(SEARCH("Totalmente",C4)))</formula>
    </cfRule>
  </conditionalFormatting>
  <conditionalFormatting sqref="D4:D23">
    <cfRule type="containsText" dxfId="19" priority="5" operator="containsText" text="Muito fraca">
      <formula>NOT(ISERROR(SEARCH("Muito fraca",D4)))</formula>
    </cfRule>
    <cfRule type="containsText" dxfId="18" priority="6" operator="containsText" text="Fraca">
      <formula>NOT(ISERROR(SEARCH("Fraca",D4)))</formula>
    </cfRule>
    <cfRule type="containsText" dxfId="17" priority="7" operator="containsText" text="Muito forte">
      <formula>NOT(ISERROR(SEARCH("Muito forte",D4)))</formula>
    </cfRule>
    <cfRule type="containsText" dxfId="16" priority="8" operator="containsText" text="Forte">
      <formula>NOT(ISERROR(SEARCH("Forte",D4)))</formula>
    </cfRule>
  </conditionalFormatting>
  <conditionalFormatting sqref="E4:E23">
    <cfRule type="containsText" dxfId="15" priority="1" operator="containsText" text="Piora muito">
      <formula>NOT(ISERROR(SEARCH("Piora muito",E4)))</formula>
    </cfRule>
    <cfRule type="containsText" dxfId="14" priority="2" operator="containsText" text="Piora">
      <formula>NOT(ISERROR(SEARCH("Piora",E4)))</formula>
    </cfRule>
    <cfRule type="containsText" dxfId="13" priority="3" operator="containsText" text="Melhora muito">
      <formula>NOT(ISERROR(SEARCH("Melhora muito",E4)))</formula>
    </cfRule>
    <cfRule type="containsText" dxfId="12" priority="4" operator="containsText" text="Melhora">
      <formula>NOT(ISERROR(SEARCH("Melhora",E4)))</formula>
    </cfRule>
  </conditionalFormatting>
  <dataValidations count="3">
    <dataValidation type="list" allowBlank="1" showInputMessage="1" showErrorMessage="1" sqref="E4:E23" xr:uid="{00000000-0002-0000-0600-000000000000}">
      <formula1>$H$22:$H$26</formula1>
    </dataValidation>
    <dataValidation type="list" allowBlank="1" showInputMessage="1" showErrorMessage="1" sqref="D4:D23" xr:uid="{00000000-0002-0000-0600-000001000000}">
      <formula1>$H$14:$H$18</formula1>
    </dataValidation>
    <dataValidation type="list" allowBlank="1" showInputMessage="1" showErrorMessage="1" sqref="C4:C23" xr:uid="{00000000-0002-0000-0600-000002000000}">
      <formula1>$H$6:$H$10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4"/>
  <dimension ref="A1:AI100"/>
  <sheetViews>
    <sheetView showGridLines="0" zoomScale="72" zoomScaleNormal="72" workbookViewId="0">
      <selection activeCell="B6" sqref="B6"/>
    </sheetView>
  </sheetViews>
  <sheetFormatPr defaultColWidth="8.81640625" defaultRowHeight="14.5" zeroHeight="1" x14ac:dyDescent="0.35"/>
  <cols>
    <col min="1" max="1" width="8" style="1" customWidth="1"/>
    <col min="2" max="2" width="110.7265625" customWidth="1"/>
    <col min="3" max="3" width="11.36328125" style="15" customWidth="1"/>
    <col min="4" max="4" width="113.08984375" style="4" customWidth="1"/>
    <col min="5" max="5" width="11.36328125" customWidth="1"/>
    <col min="6" max="35" width="8.81640625" style="1"/>
  </cols>
  <sheetData>
    <row r="1" spans="1:12" s="73" customFormat="1" ht="34" customHeight="1" x14ac:dyDescent="0.55000000000000004">
      <c r="A1" s="77"/>
      <c r="B1" s="96"/>
      <c r="C1" s="78"/>
      <c r="D1" s="77"/>
      <c r="E1" s="77"/>
      <c r="F1" s="77"/>
      <c r="G1" s="77"/>
      <c r="H1" s="77"/>
      <c r="I1" s="77"/>
      <c r="J1" s="77"/>
      <c r="K1" s="77"/>
      <c r="L1" s="77"/>
    </row>
    <row r="2" spans="1:12" s="73" customFormat="1" ht="21.65" customHeight="1" x14ac:dyDescent="0.55000000000000004">
      <c r="A2" s="77"/>
      <c r="B2" s="96"/>
      <c r="C2" s="78"/>
      <c r="D2" s="77"/>
      <c r="E2" s="77"/>
      <c r="F2" s="77"/>
      <c r="G2" s="77"/>
      <c r="H2" s="77"/>
      <c r="I2" s="77"/>
      <c r="J2" s="77"/>
      <c r="K2" s="77"/>
      <c r="L2" s="77"/>
    </row>
    <row r="3" spans="1:12" ht="6.75" customHeight="1" thickBot="1" x14ac:dyDescent="0.4">
      <c r="C3" s="12"/>
      <c r="D3"/>
    </row>
    <row r="4" spans="1:12" ht="30" hidden="1" customHeight="1" thickBot="1" x14ac:dyDescent="0.4">
      <c r="B4" s="13"/>
      <c r="C4"/>
      <c r="D4" s="13"/>
    </row>
    <row r="5" spans="1:12" ht="30" customHeight="1" thickTop="1" thickBot="1" x14ac:dyDescent="0.4">
      <c r="B5" s="58" t="s">
        <v>26</v>
      </c>
      <c r="C5" s="59">
        <f>SUM(C6:C10)</f>
        <v>317</v>
      </c>
      <c r="D5" s="79" t="s">
        <v>27</v>
      </c>
      <c r="E5" s="59">
        <f>SUM(E6:E10)</f>
        <v>216</v>
      </c>
      <c r="G5" s="1">
        <v>2.0000000000000001E-4</v>
      </c>
      <c r="H5" s="1">
        <f>IFERROR(G5+K5,"")</f>
        <v>125.00020000000001</v>
      </c>
      <c r="I5" s="43" t="str">
        <f>B6</f>
        <v>Avanço da regulamentação da Inteligência Artificial no Brasil</v>
      </c>
      <c r="J5" s="43" t="s">
        <v>28</v>
      </c>
      <c r="K5" s="43">
        <f>C6</f>
        <v>125</v>
      </c>
    </row>
    <row r="6" spans="1:12" ht="27.75" customHeight="1" thickTop="1" thickBot="1" x14ac:dyDescent="0.4">
      <c r="A6" s="1">
        <v>1</v>
      </c>
      <c r="B6" s="60" t="str">
        <f>IF(ISERROR(VLOOKUP(LARGE('Fator Político'!$L$5:$L$24,$A6),'Fator Político'!$L$5:$M$24,2,FALSE)),"",VLOOKUP(LARGE('Fator Político'!$L$5:$L$24,$A6),'Fator Político'!$L$5:$M$24,2,FALSE))</f>
        <v>Avanço da regulamentação da Inteligência Artificial no Brasil</v>
      </c>
      <c r="C6" s="61">
        <f>IF(ISERROR(VLOOKUP(LARGE('Fator Político'!$L$5:$L$24,$A6),'Fator Político'!$L$5:$N$24,3,FALSE)),"",VLOOKUP(LARGE('Fator Político'!$L$5:$L$24,$A6),'Fator Político'!$L$5:$N$24,3,FALSE))</f>
        <v>125</v>
      </c>
      <c r="D6" s="80" t="str">
        <f>IF(ISERROR(VLOOKUP(LARGE('Fator Econômico'!$L$4:$L$23,$A6),'Fator Econômico'!$L$4:$M$23,2,FALSE)),"",VLOOKUP(LARGE('Fator Econômico'!$L$4:$L$23,$A6),'Fator Econômico'!$L$4:$M$23,2,FALSE))</f>
        <v>Variação cambial (Dólar) impactando licenças de Cloud (AWS, Azure, etc.)</v>
      </c>
      <c r="E6" s="81">
        <f>IF(ISERROR(VLOOKUP(LARGE('Fator Econômico'!$L$4:$L$23,$A6),'Fator Econômico'!$L$4:$N$23,3,FALSE)),"",VLOOKUP(LARGE('Fator Econômico'!$L$4:$L$23,$A6),'Fator Econômico'!$L$4:$N$23,3,FALSE))</f>
        <v>100</v>
      </c>
      <c r="G6" s="1">
        <v>1.9000000000000001E-4</v>
      </c>
      <c r="H6" s="1">
        <f t="shared" ref="H6:H24" si="0">IFERROR(G6+K6,"")</f>
        <v>75.000190000000003</v>
      </c>
      <c r="I6" s="43" t="str">
        <f t="shared" ref="I6:I9" si="1">B7</f>
        <v>Regulamentação e fiscalização da LGPD no uso de dados corporativos</v>
      </c>
      <c r="J6" s="43" t="s">
        <v>28</v>
      </c>
      <c r="K6" s="43">
        <f t="shared" ref="K6:K9" si="2">C7</f>
        <v>75</v>
      </c>
    </row>
    <row r="7" spans="1:12" ht="27.75" customHeight="1" thickTop="1" thickBot="1" x14ac:dyDescent="0.4">
      <c r="A7" s="1">
        <v>2</v>
      </c>
      <c r="B7" s="60" t="str">
        <f>IF(ISERROR(VLOOKUP(LARGE('Fator Político'!$L$5:$L$24,$A7),'Fator Político'!$L$5:$M$24,2,FALSE)),"",VLOOKUP(LARGE('Fator Político'!$L$5:$L$24,$A7),'Fator Político'!$L$5:$M$24,2,FALSE))</f>
        <v>Regulamentação e fiscalização da LGPD no uso de dados corporativos</v>
      </c>
      <c r="C7" s="61">
        <f>IF(ISERROR(VLOOKUP(LARGE('Fator Político'!$L$5:$L$24,$A7),'Fator Político'!$L$5:$N$24,3,FALSE)),"",VLOOKUP(LARGE('Fator Político'!$L$5:$L$24,$A7),'Fator Político'!$L$5:$N$24,3,FALSE))</f>
        <v>75</v>
      </c>
      <c r="D7" s="80" t="str">
        <f>IF(ISERROR(VLOOKUP(LARGE('Fator Econômico'!$L$4:$L$23,$A7),'Fator Econômico'!$L$4:$M$23,2,FALSE)),"",VLOOKUP(LARGE('Fator Econômico'!$L$4:$L$23,$A7),'Fator Econômico'!$L$4:$M$23,2,FALSE))</f>
        <v>Inflação salarial e custo para atração/retenção de talentos de TI</v>
      </c>
      <c r="E7" s="81">
        <f>IF(ISERROR(VLOOKUP(LARGE('Fator Econômico'!$L$4:$L$23,$A7),'Fator Econômico'!$L$4:$N$23,3,FALSE)),"",VLOOKUP(LARGE('Fator Econômico'!$L$4:$L$23,$A7),'Fator Econômico'!$L$4:$N$23,3,FALSE))</f>
        <v>48</v>
      </c>
      <c r="G7" s="1">
        <v>1.8000000000000001E-4</v>
      </c>
      <c r="H7" s="1">
        <f t="shared" si="0"/>
        <v>48.00018</v>
      </c>
      <c r="I7" s="43" t="str">
        <f t="shared" si="1"/>
        <v>Tributação sobre serviços de tecnologia e computação em nuvem</v>
      </c>
      <c r="J7" s="43" t="s">
        <v>28</v>
      </c>
      <c r="K7" s="43">
        <f t="shared" si="2"/>
        <v>48</v>
      </c>
    </row>
    <row r="8" spans="1:12" ht="27.75" customHeight="1" thickTop="1" thickBot="1" x14ac:dyDescent="0.4">
      <c r="A8" s="1">
        <v>3</v>
      </c>
      <c r="B8" s="60" t="str">
        <f>IF(ISERROR(VLOOKUP(LARGE('Fator Político'!$L$5:$L$24,$A8),'Fator Político'!$L$5:$M$24,2,FALSE)),"",VLOOKUP(LARGE('Fator Político'!$L$5:$L$24,$A8),'Fator Político'!$L$5:$M$24,2,FALSE))</f>
        <v>Tributação sobre serviços de tecnologia e computação em nuvem</v>
      </c>
      <c r="C8" s="61">
        <f>IF(ISERROR(VLOOKUP(LARGE('Fator Político'!$L$5:$L$24,$A8),'Fator Político'!$L$5:$N$24,3,FALSE)),"",VLOOKUP(LARGE('Fator Político'!$L$5:$L$24,$A8),'Fator Político'!$L$5:$N$24,3,FALSE))</f>
        <v>48</v>
      </c>
      <c r="D8" s="80" t="str">
        <f>IF(ISERROR(VLOOKUP(LARGE('Fator Econômico'!$L$4:$L$23,$A8),'Fator Econômico'!$L$4:$M$23,2,FALSE)),"",VLOOKUP(LARGE('Fator Econômico'!$L$4:$L$23,$A8),'Fator Econômico'!$L$4:$M$23,2,FALSE))</f>
        <v>Competitividade e pressão sobre o pricing de consultorias de dados</v>
      </c>
      <c r="E8" s="81">
        <f>IF(ISERROR(VLOOKUP(LARGE('Fator Econômico'!$L$4:$L$23,$A8),'Fator Econômico'!$L$4:$N$23,3,FALSE)),"",VLOOKUP(LARGE('Fator Econômico'!$L$4:$L$23,$A8),'Fator Econômico'!$L$4:$N$23,3,FALSE))</f>
        <v>36</v>
      </c>
      <c r="G8" s="1">
        <v>1.7000000000000001E-4</v>
      </c>
      <c r="H8" s="1">
        <f t="shared" si="0"/>
        <v>45.000169999999997</v>
      </c>
      <c r="I8" s="43" t="str">
        <f t="shared" si="1"/>
        <v>Regras sobre transferência internacional de dados (Cloud)</v>
      </c>
      <c r="J8" s="43" t="s">
        <v>28</v>
      </c>
      <c r="K8" s="43">
        <f t="shared" si="2"/>
        <v>45</v>
      </c>
    </row>
    <row r="9" spans="1:12" ht="27.75" customHeight="1" thickTop="1" thickBot="1" x14ac:dyDescent="0.4">
      <c r="A9" s="1">
        <v>4</v>
      </c>
      <c r="B9" s="60" t="str">
        <f>IF(ISERROR(VLOOKUP(LARGE('Fator Político'!$L$5:$L$24,$A9),'Fator Político'!$L$5:$M$24,2,FALSE)),"",VLOOKUP(LARGE('Fator Político'!$L$5:$L$24,$A9),'Fator Político'!$L$5:$M$24,2,FALSE))</f>
        <v>Regras sobre transferência internacional de dados (Cloud)</v>
      </c>
      <c r="C9" s="61">
        <f>IF(ISERROR(VLOOKUP(LARGE('Fator Político'!$L$5:$L$24,$A9),'Fator Político'!$L$5:$N$24,3,FALSE)),"",VLOOKUP(LARGE('Fator Político'!$L$5:$L$24,$A9),'Fator Político'!$L$5:$N$24,3,FALSE))</f>
        <v>45</v>
      </c>
      <c r="D9" s="80" t="str">
        <f>IF(ISERROR(VLOOKUP(LARGE('Fator Econômico'!$L$4:$L$23,$A9),'Fator Econômico'!$L$4:$M$23,2,FALSE)),"",VLOOKUP(LARGE('Fator Econômico'!$L$4:$L$23,$A9),'Fator Econômico'!$L$4:$M$23,2,FALSE))</f>
        <v>Crescimento de investimentos tecnológicos no Setor Financeiro e Seguradoras</v>
      </c>
      <c r="E9" s="81">
        <f>IF(ISERROR(VLOOKUP(LARGE('Fator Econômico'!$L$4:$L$23,$A9),'Fator Econômico'!$L$4:$N$23,3,FALSE)),"",VLOOKUP(LARGE('Fator Econômico'!$L$4:$L$23,$A9),'Fator Econômico'!$L$4:$N$23,3,FALSE))</f>
        <v>20</v>
      </c>
      <c r="G9" s="1">
        <v>1.6000000000000001E-4</v>
      </c>
      <c r="H9" s="1">
        <f t="shared" si="0"/>
        <v>24.000160000000001</v>
      </c>
      <c r="I9" s="43" t="str">
        <f t="shared" si="1"/>
        <v>Marcos regulatórios e de compliance no setor financeiro</v>
      </c>
      <c r="J9" s="43" t="s">
        <v>28</v>
      </c>
      <c r="K9" s="43">
        <f t="shared" si="2"/>
        <v>24</v>
      </c>
    </row>
    <row r="10" spans="1:12" ht="27.75" customHeight="1" thickTop="1" thickBot="1" x14ac:dyDescent="0.4">
      <c r="A10" s="1">
        <v>5</v>
      </c>
      <c r="B10" s="60" t="str">
        <f>IF(ISERROR(VLOOKUP(LARGE('Fator Político'!$L$5:$L$24,$A10),'Fator Político'!$L$5:$M$24,2,FALSE)),"",VLOOKUP(LARGE('Fator Político'!$L$5:$L$24,$A10),'Fator Político'!$L$5:$M$24,2,FALSE))</f>
        <v>Marcos regulatórios e de compliance no setor financeiro</v>
      </c>
      <c r="C10" s="61">
        <f>IF(ISERROR(VLOOKUP(LARGE('Fator Político'!$L$5:$L$24,$A10),'Fator Político'!$L$5:$N$24,3,FALSE)),"",VLOOKUP(LARGE('Fator Político'!$L$5:$L$24,$A10),'Fator Político'!$L$5:$N$24,3,FALSE))</f>
        <v>24</v>
      </c>
      <c r="D10" s="80" t="str">
        <f>IF(ISERROR(VLOOKUP(LARGE('Fator Econômico'!$L$4:$L$23,$A10),'Fator Econômico'!$L$4:$M$23,2,FALSE)),"",VLOOKUP(LARGE('Fator Econômico'!$L$4:$L$23,$A10),'Fator Econômico'!$L$4:$M$23,2,FALSE))</f>
        <v>Orçamento corporativo focado em eficiência e redução de custos (FinOps)</v>
      </c>
      <c r="E10" s="81">
        <f>IF(ISERROR(VLOOKUP(LARGE('Fator Econômico'!$L$4:$L$23,$A10),'Fator Econômico'!$L$4:$N$23,3,FALSE)),"",VLOOKUP(LARGE('Fator Econômico'!$L$4:$L$23,$A10),'Fator Econômico'!$L$4:$N$23,3,FALSE))</f>
        <v>12</v>
      </c>
      <c r="G10" s="1">
        <v>1.4999999999999999E-4</v>
      </c>
      <c r="H10" s="1">
        <f t="shared" si="0"/>
        <v>100.00015</v>
      </c>
      <c r="I10" s="43" t="str">
        <f>D6</f>
        <v>Variação cambial (Dólar) impactando licenças de Cloud (AWS, Azure, etc.)</v>
      </c>
      <c r="J10" s="43" t="s">
        <v>29</v>
      </c>
      <c r="K10" s="43">
        <f>E6</f>
        <v>100</v>
      </c>
    </row>
    <row r="11" spans="1:12" ht="6" customHeight="1" thickTop="1" x14ac:dyDescent="0.35">
      <c r="C11" s="12"/>
      <c r="D11"/>
      <c r="G11" s="1">
        <v>1.3999999999999999E-4</v>
      </c>
      <c r="H11" s="1">
        <f t="shared" si="0"/>
        <v>48.000140000000002</v>
      </c>
      <c r="I11" s="43" t="str">
        <f t="shared" ref="I11:I14" si="3">D7</f>
        <v>Inflação salarial e custo para atração/retenção de talentos de TI</v>
      </c>
      <c r="J11" s="43" t="s">
        <v>29</v>
      </c>
      <c r="K11" s="43">
        <f t="shared" ref="K11:K14" si="4">E7</f>
        <v>48</v>
      </c>
    </row>
    <row r="12" spans="1:12" ht="6" customHeight="1" thickBot="1" x14ac:dyDescent="0.4">
      <c r="B12" s="13"/>
      <c r="C12" s="12"/>
      <c r="D12" s="13"/>
      <c r="G12" s="1">
        <v>1.2999999999999999E-4</v>
      </c>
      <c r="H12" s="1">
        <f t="shared" si="0"/>
        <v>36.000129999999999</v>
      </c>
      <c r="I12" s="43" t="str">
        <f t="shared" si="3"/>
        <v>Competitividade e pressão sobre o pricing de consultorias de dados</v>
      </c>
      <c r="J12" s="43" t="s">
        <v>29</v>
      </c>
      <c r="K12" s="43">
        <f t="shared" si="4"/>
        <v>36</v>
      </c>
    </row>
    <row r="13" spans="1:12" ht="30" customHeight="1" thickTop="1" thickBot="1" x14ac:dyDescent="0.4">
      <c r="B13" s="58" t="s">
        <v>30</v>
      </c>
      <c r="C13" s="59">
        <f>SUM(C14:C18)</f>
        <v>287</v>
      </c>
      <c r="D13" s="79" t="s">
        <v>31</v>
      </c>
      <c r="E13" s="59">
        <f>SUM(E14:E18)</f>
        <v>140</v>
      </c>
      <c r="G13" s="1">
        <v>1.2E-4</v>
      </c>
      <c r="H13" s="1">
        <f t="shared" si="0"/>
        <v>20.000119999999999</v>
      </c>
      <c r="I13" s="43" t="str">
        <f t="shared" si="3"/>
        <v>Crescimento de investimentos tecnológicos no Setor Financeiro e Seguradoras</v>
      </c>
      <c r="J13" s="43" t="s">
        <v>29</v>
      </c>
      <c r="K13" s="43">
        <f t="shared" si="4"/>
        <v>20</v>
      </c>
    </row>
    <row r="14" spans="1:12" ht="27.75" customHeight="1" thickTop="1" thickBot="1" x14ac:dyDescent="0.4">
      <c r="A14" s="1">
        <v>1</v>
      </c>
      <c r="B14" s="60" t="str">
        <f>IF(ISERROR(VLOOKUP(LARGE('Fator Social'!$L$4:$L$23,$A6),'Fator Social'!$L$4:$M$23,2,FALSE)),"",VLOOKUP(LARGE('Fator Social'!$L$4:$L$23,$A6),'Fator Social'!$L$4:$M$23,2,FALSE))</f>
        <v>Adoção descontrolada de ferramentas de IA pelos funcionários (Shadow AI)</v>
      </c>
      <c r="C14" s="61">
        <f>IF(ISERROR(VLOOKUP(LARGE('Fator Social'!$L$4:$L$23,$A6),'Fator Social'!$L$4:$N$23,3,FALSE)),"",VLOOKUP(LARGE('Fator Social'!$L$4:$L$23,$A6),'Fator Social'!$L$4:$N$23,3,FALSE))</f>
        <v>125</v>
      </c>
      <c r="D14" s="80" t="str">
        <f>IF(ISERROR(VLOOKUP(LARGE('Fator Tecnológico'!$L$4:$L$23,$A6),'Fator Tecnológico'!$L$4:$M$23,2,FALSE)),"",VLOOKUP(LARGE('Fator Tecnológico'!$L$4:$L$23,$A6),'Fator Tecnológico'!$L$4:$M$23,2,FALSE))</f>
        <v>Aumento da complexidade na integração de múltiplas plataformas (Salesforce, Oracle, etc.)</v>
      </c>
      <c r="E14" s="81">
        <f>IF(ISERROR(VLOOKUP(LARGE('Fator Tecnológico'!$L$4:$L$23,$A6),'Fator Tecnológico'!$L$4:$N$23,3,FALSE)),"",VLOOKUP(LARGE('Fator Tecnológico'!$L$4:$L$23,$A6),'Fator Tecnológico'!$L$4:$N$23,3,FALSE))</f>
        <v>48</v>
      </c>
      <c r="G14" s="1">
        <v>1.1E-4</v>
      </c>
      <c r="H14" s="1">
        <f t="shared" si="0"/>
        <v>12.000109999999999</v>
      </c>
      <c r="I14" s="43" t="str">
        <f t="shared" si="3"/>
        <v>Orçamento corporativo focado em eficiência e redução de custos (FinOps)</v>
      </c>
      <c r="J14" s="43" t="s">
        <v>29</v>
      </c>
      <c r="K14" s="43">
        <f t="shared" si="4"/>
        <v>12</v>
      </c>
    </row>
    <row r="15" spans="1:12" ht="27.75" customHeight="1" thickTop="1" thickBot="1" x14ac:dyDescent="0.4">
      <c r="A15" s="1">
        <v>2</v>
      </c>
      <c r="B15" s="60" t="str">
        <f>IF(ISERROR(VLOOKUP(LARGE('Fator Social'!$L$4:$L$23,$A7),'Fator Social'!$L$4:$M$23,2,FALSE)),"",VLOOKUP(LARGE('Fator Social'!$L$4:$L$23,$A7),'Fator Social'!$L$4:$M$23,2,FALSE))</f>
        <v>Escassez de mão de obra superespecializada em dados e IA no mercado</v>
      </c>
      <c r="C15" s="61">
        <f>IF(ISERROR(VLOOKUP(LARGE('Fator Social'!$L$4:$L$23,$A7),'Fator Social'!$L$4:$N$23,3,FALSE)),"",VLOOKUP(LARGE('Fator Social'!$L$4:$L$23,$A7),'Fator Social'!$L$4:$N$23,3,FALSE))</f>
        <v>80</v>
      </c>
      <c r="D15" s="80" t="str">
        <f>IF(ISERROR(VLOOKUP(LARGE('Fator Tecnológico'!$L$4:$L$23,$A7),'Fator Tecnológico'!$L$4:$M$23,2,FALSE)),"",VLOOKUP(LARGE('Fator Tecnológico'!$L$4:$L$23,$A7),'Fator Tecnológico'!$L$4:$M$23,2,FALSE))</f>
        <v>Rápida evolução e surgimento de novas ferramentas de Inteligência Artificial</v>
      </c>
      <c r="E15" s="81">
        <f>IF(ISERROR(VLOOKUP(LARGE('Fator Tecnológico'!$L$4:$L$23,$A7),'Fator Tecnológico'!$L$4:$N$23,3,FALSE)),"",VLOOKUP(LARGE('Fator Tecnológico'!$L$4:$L$23,$A7),'Fator Tecnológico'!$L$4:$N$23,3,FALSE))</f>
        <v>25</v>
      </c>
      <c r="G15" s="1">
        <v>1E-4</v>
      </c>
      <c r="H15" s="1">
        <f t="shared" si="0"/>
        <v>125.0001</v>
      </c>
      <c r="I15" s="43" t="str">
        <f>B14</f>
        <v>Adoção descontrolada de ferramentas de IA pelos funcionários (Shadow AI)</v>
      </c>
      <c r="J15" s="1" t="s">
        <v>32</v>
      </c>
      <c r="K15" s="1">
        <f>C14</f>
        <v>125</v>
      </c>
    </row>
    <row r="16" spans="1:12" ht="27.75" customHeight="1" thickTop="1" thickBot="1" x14ac:dyDescent="0.4">
      <c r="A16" s="1">
        <v>3</v>
      </c>
      <c r="B16" s="60" t="str">
        <f>IF(ISERROR(VLOOKUP(LARGE('Fator Social'!$L$4:$L$23,$A8),'Fator Social'!$L$4:$M$23,2,FALSE)),"",VLOOKUP(LARGE('Fator Social'!$L$4:$L$23,$A8),'Fator Social'!$L$4:$M$23,2,FALSE))</f>
        <v>Preocupação crescente com a privacidade e vazamento de dados corporativos</v>
      </c>
      <c r="C16" s="61">
        <f>IF(ISERROR(VLOOKUP(LARGE('Fator Social'!$L$4:$L$23,$A8),'Fator Social'!$L$4:$N$23,3,FALSE)),"",VLOOKUP(LARGE('Fator Social'!$L$4:$L$23,$A8),'Fator Social'!$L$4:$N$23,3,FALSE))</f>
        <v>48</v>
      </c>
      <c r="D16" s="80" t="str">
        <f>IF(ISERROR(VLOOKUP(LARGE('Fator Tecnológico'!$L$4:$L$23,$A8),'Fator Tecnológico'!$L$4:$M$23,2,FALSE)),"",VLOOKUP(LARGE('Fator Tecnológico'!$L$4:$L$23,$A8),'Fator Tecnológico'!$L$4:$M$23,2,FALSE))</f>
        <v>Crescimento da necessidade de plataformas de Governança de Dados e IA</v>
      </c>
      <c r="E16" s="81">
        <f>IF(ISERROR(VLOOKUP(LARGE('Fator Tecnológico'!$L$4:$L$23,$A8),'Fator Tecnológico'!$L$4:$N$23,3,FALSE)),"",VLOOKUP(LARGE('Fator Tecnológico'!$L$4:$L$23,$A8),'Fator Tecnológico'!$L$4:$N$23,3,FALSE))</f>
        <v>25</v>
      </c>
      <c r="G16" s="1">
        <v>9.0000000000000006E-5</v>
      </c>
      <c r="H16" s="1">
        <f t="shared" si="0"/>
        <v>80.00009</v>
      </c>
      <c r="I16" s="43" t="str">
        <f t="shared" ref="I16:I19" si="5">B15</f>
        <v>Escassez de mão de obra superespecializada em dados e IA no mercado</v>
      </c>
      <c r="J16" s="1" t="s">
        <v>32</v>
      </c>
      <c r="K16" s="1">
        <f t="shared" ref="K16:K19" si="6">C15</f>
        <v>80</v>
      </c>
    </row>
    <row r="17" spans="1:11" ht="27.75" customHeight="1" thickTop="1" thickBot="1" x14ac:dyDescent="0.4">
      <c r="A17" s="1">
        <v>4</v>
      </c>
      <c r="B17" s="60" t="str">
        <f>IF(ISERROR(VLOOKUP(LARGE('Fator Social'!$L$4:$L$23,$A9),'Fator Social'!$L$4:$M$23,2,FALSE)),"",VLOOKUP(LARGE('Fator Social'!$L$4:$L$23,$A9),'Fator Social'!$L$4:$M$23,2,FALSE))</f>
        <v>Necessidade contínua de capacitação das equipes (Lifelong learning)</v>
      </c>
      <c r="C17" s="61">
        <f>IF(ISERROR(VLOOKUP(LARGE('Fator Social'!$L$4:$L$23,$A9),'Fator Social'!$L$4:$N$23,3,FALSE)),"",VLOOKUP(LARGE('Fator Social'!$L$4:$L$23,$A9),'Fator Social'!$L$4:$N$23,3,FALSE))</f>
        <v>18</v>
      </c>
      <c r="D17" s="80" t="str">
        <f>IF(ISERROR(VLOOKUP(LARGE('Fator Tecnológico'!$L$4:$L$23,$A9),'Fator Tecnológico'!$L$4:$M$23,2,FALSE)),"",VLOOKUP(LARGE('Fator Tecnológico'!$L$4:$L$23,$A9),'Fator Tecnológico'!$L$4:$M$23,2,FALSE))</f>
        <v>Evolução dos ecossistemas de Cloud e Data Lakehouses (Databricks, Snowflake)</v>
      </c>
      <c r="E17" s="81">
        <f>IF(ISERROR(VLOOKUP(LARGE('Fator Tecnológico'!$L$4:$L$23,$A9),'Fator Tecnológico'!$L$4:$N$23,3,FALSE)),"",VLOOKUP(LARGE('Fator Tecnológico'!$L$4:$L$23,$A9),'Fator Tecnológico'!$L$4:$N$23,3,FALSE))</f>
        <v>24</v>
      </c>
      <c r="G17" s="1">
        <v>8.0000000000000007E-5</v>
      </c>
      <c r="H17" s="1">
        <f t="shared" si="0"/>
        <v>48.000079999999997</v>
      </c>
      <c r="I17" s="43" t="str">
        <f t="shared" si="5"/>
        <v>Preocupação crescente com a privacidade e vazamento de dados corporativos</v>
      </c>
      <c r="J17" s="1" t="s">
        <v>32</v>
      </c>
      <c r="K17" s="1">
        <f t="shared" si="6"/>
        <v>48</v>
      </c>
    </row>
    <row r="18" spans="1:11" ht="27.75" customHeight="1" thickTop="1" thickBot="1" x14ac:dyDescent="0.4">
      <c r="A18" s="1">
        <v>5</v>
      </c>
      <c r="B18" s="60" t="str">
        <f>IF(ISERROR(VLOOKUP(LARGE('Fator Social'!$L$4:$L$23,$A10),'Fator Social'!$L$4:$M$23,2,FALSE)),"",VLOOKUP(LARGE('Fator Social'!$L$4:$L$23,$A10),'Fator Social'!$L$4:$M$23,2,FALSE))</f>
        <v>Resistência social e medo da substituição de empregos por Inteligência Artificial</v>
      </c>
      <c r="C18" s="61">
        <f>IF(ISERROR(VLOOKUP(LARGE('Fator Social'!$L$4:$L$23,$A10),'Fator Social'!$L$4:$N$23,3,FALSE)),"",VLOOKUP(LARGE('Fator Social'!$L$4:$L$23,$A10),'Fator Social'!$L$4:$N$23,3,FALSE))</f>
        <v>16</v>
      </c>
      <c r="D18" s="80" t="str">
        <f>IF(ISERROR(VLOOKUP(LARGE('Fator Tecnológico'!$L$4:$L$23,$A10),'Fator Tecnológico'!$L$4:$M$23,2,FALSE)),"",VLOOKUP(LARGE('Fator Tecnológico'!$L$4:$L$23,$A10),'Fator Tecnológico'!$L$4:$M$23,2,FALSE))</f>
        <v>Democratização do Self-Service BI exigindo mais controle e monitoramento</v>
      </c>
      <c r="E18" s="81">
        <f>IF(ISERROR(VLOOKUP(LARGE('Fator Tecnológico'!$L$4:$L$23,$A10),'Fator Tecnológico'!$L$4:$N$23,3,FALSE)),"",VLOOKUP(LARGE('Fator Tecnológico'!$L$4:$L$23,$A10),'Fator Tecnológico'!$L$4:$N$23,3,FALSE))</f>
        <v>18</v>
      </c>
      <c r="G18" s="1">
        <v>6.9999999999999994E-5</v>
      </c>
      <c r="H18" s="1">
        <f t="shared" si="0"/>
        <v>18.000070000000001</v>
      </c>
      <c r="I18" s="43" t="str">
        <f t="shared" si="5"/>
        <v>Necessidade contínua de capacitação das equipes (Lifelong learning)</v>
      </c>
      <c r="J18" s="1" t="s">
        <v>32</v>
      </c>
      <c r="K18" s="1">
        <f t="shared" si="6"/>
        <v>18</v>
      </c>
    </row>
    <row r="19" spans="1:11" ht="30" customHeight="1" thickTop="1" x14ac:dyDescent="0.35">
      <c r="C19" s="12"/>
      <c r="D19"/>
      <c r="G19" s="1">
        <v>6.0000000000000002E-5</v>
      </c>
      <c r="H19" s="1">
        <f t="shared" si="0"/>
        <v>16.000060000000001</v>
      </c>
      <c r="I19" s="43" t="str">
        <f t="shared" si="5"/>
        <v>Resistência social e medo da substituição de empregos por Inteligência Artificial</v>
      </c>
      <c r="J19" s="1" t="s">
        <v>32</v>
      </c>
      <c r="K19" s="1">
        <f t="shared" si="6"/>
        <v>16</v>
      </c>
    </row>
    <row r="20" spans="1:11" ht="30" customHeight="1" x14ac:dyDescent="0.35">
      <c r="C20" s="12"/>
      <c r="D20"/>
      <c r="G20" s="1">
        <v>5.0000000000000002E-5</v>
      </c>
      <c r="H20" s="1">
        <f t="shared" si="0"/>
        <v>48.000050000000002</v>
      </c>
      <c r="I20" s="43" t="str">
        <f>D14</f>
        <v>Aumento da complexidade na integração de múltiplas plataformas (Salesforce, Oracle, etc.)</v>
      </c>
      <c r="J20" s="1" t="s">
        <v>33</v>
      </c>
      <c r="K20" s="1">
        <f>E14</f>
        <v>48</v>
      </c>
    </row>
    <row r="21" spans="1:11" ht="30" customHeight="1" x14ac:dyDescent="0.35">
      <c r="C21" s="12"/>
      <c r="D21"/>
      <c r="G21" s="1">
        <v>4.0000000000000003E-5</v>
      </c>
      <c r="H21" s="1">
        <f t="shared" si="0"/>
        <v>25.000039999999998</v>
      </c>
      <c r="I21" s="43" t="str">
        <f t="shared" ref="I21:I24" si="7">D15</f>
        <v>Rápida evolução e surgimento de novas ferramentas de Inteligência Artificial</v>
      </c>
      <c r="J21" s="1" t="s">
        <v>33</v>
      </c>
      <c r="K21" s="1">
        <f t="shared" ref="K21:K24" si="8">E15</f>
        <v>25</v>
      </c>
    </row>
    <row r="22" spans="1:11" ht="30" customHeight="1" x14ac:dyDescent="0.35">
      <c r="C22" s="12"/>
      <c r="D22"/>
      <c r="G22" s="1">
        <v>3.0000000000000001E-5</v>
      </c>
      <c r="H22" s="1">
        <f t="shared" si="0"/>
        <v>25.000029999999999</v>
      </c>
      <c r="I22" s="43" t="str">
        <f t="shared" si="7"/>
        <v>Crescimento da necessidade de plataformas de Governança de Dados e IA</v>
      </c>
      <c r="J22" s="1" t="s">
        <v>33</v>
      </c>
      <c r="K22" s="1">
        <f t="shared" si="8"/>
        <v>25</v>
      </c>
    </row>
    <row r="23" spans="1:11" ht="30" customHeight="1" x14ac:dyDescent="0.35">
      <c r="C23" s="12"/>
      <c r="D23"/>
      <c r="G23" s="1">
        <v>2.0000000000000002E-5</v>
      </c>
      <c r="H23" s="1">
        <f t="shared" si="0"/>
        <v>24.000019999999999</v>
      </c>
      <c r="I23" s="43" t="str">
        <f t="shared" si="7"/>
        <v>Evolução dos ecossistemas de Cloud e Data Lakehouses (Databricks, Snowflake)</v>
      </c>
      <c r="J23" s="1" t="s">
        <v>33</v>
      </c>
      <c r="K23" s="1">
        <f t="shared" si="8"/>
        <v>24</v>
      </c>
    </row>
    <row r="24" spans="1:11" ht="30" customHeight="1" x14ac:dyDescent="0.35">
      <c r="C24" s="12"/>
      <c r="D24"/>
      <c r="G24" s="1">
        <v>1.0000000000000001E-5</v>
      </c>
      <c r="H24" s="1">
        <f t="shared" si="0"/>
        <v>18.00001</v>
      </c>
      <c r="I24" s="43" t="str">
        <f t="shared" si="7"/>
        <v>Democratização do Self-Service BI exigindo mais controle e monitoramento</v>
      </c>
      <c r="J24" s="1" t="s">
        <v>33</v>
      </c>
      <c r="K24" s="1">
        <f t="shared" si="8"/>
        <v>18</v>
      </c>
    </row>
    <row r="25" spans="1:11" ht="30" customHeight="1" x14ac:dyDescent="0.35">
      <c r="C25" s="12"/>
      <c r="D25"/>
    </row>
    <row r="26" spans="1:11" ht="30" customHeight="1" x14ac:dyDescent="0.35"/>
    <row r="27" spans="1:11" ht="30" customHeight="1" x14ac:dyDescent="0.35"/>
    <row r="28" spans="1:11" ht="30" customHeight="1" x14ac:dyDescent="0.35"/>
    <row r="29" spans="1:11" ht="30" customHeight="1" x14ac:dyDescent="0.35"/>
    <row r="30" spans="1:11" ht="30" customHeight="1" x14ac:dyDescent="0.35"/>
    <row r="31" spans="1:11" ht="30" customHeight="1" x14ac:dyDescent="0.35"/>
    <row r="32" spans="1:11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  <row r="98" ht="30" customHeight="1" x14ac:dyDescent="0.35"/>
    <row r="99" ht="30" customHeight="1" x14ac:dyDescent="0.35"/>
    <row r="100" ht="30" customHeight="1" x14ac:dyDescent="0.35"/>
  </sheetData>
  <sheetProtection selectLockedCells="1"/>
  <mergeCells count="1">
    <mergeCell ref="B1:B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5"/>
  <dimension ref="B1:AA144"/>
  <sheetViews>
    <sheetView showGridLines="0" zoomScale="70" zoomScaleNormal="70" workbookViewId="0">
      <selection activeCell="K16" sqref="K16"/>
    </sheetView>
  </sheetViews>
  <sheetFormatPr defaultColWidth="8.81640625" defaultRowHeight="14.5" zeroHeight="1" x14ac:dyDescent="0.35"/>
  <cols>
    <col min="1" max="1" width="3.81640625" customWidth="1"/>
    <col min="2" max="2" width="65.6328125" customWidth="1"/>
    <col min="3" max="3" width="62.7265625" customWidth="1"/>
    <col min="4" max="4" width="14.26953125" bestFit="1" customWidth="1"/>
    <col min="5" max="5" width="27.36328125" customWidth="1"/>
    <col min="6" max="6" width="16" customWidth="1"/>
    <col min="7" max="8" width="16.08984375" customWidth="1"/>
    <col min="9" max="9" width="27.7265625" customWidth="1"/>
    <col min="10" max="10" width="16.26953125" customWidth="1"/>
    <col min="11" max="11" width="9.36328125" style="1" customWidth="1"/>
    <col min="12" max="13" width="8.81640625" style="1"/>
    <col min="14" max="14" width="8.7265625" style="1" customWidth="1"/>
    <col min="15" max="15" width="8.81640625" style="1" customWidth="1"/>
    <col min="16" max="27" width="8.81640625" style="1"/>
  </cols>
  <sheetData>
    <row r="1" spans="2:27" s="73" customFormat="1" ht="34" customHeight="1" x14ac:dyDescent="0.55000000000000004">
      <c r="B1" s="76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</row>
    <row r="2" spans="2:27" ht="30" customHeight="1" thickBot="1" x14ac:dyDescent="0.4"/>
    <row r="3" spans="2:27" ht="30" customHeight="1" thickTop="1" thickBot="1" x14ac:dyDescent="0.4">
      <c r="B3" s="62" t="s">
        <v>101</v>
      </c>
      <c r="C3" s="62" t="s">
        <v>102</v>
      </c>
      <c r="D3" s="62" t="s">
        <v>34</v>
      </c>
      <c r="E3" s="62" t="s">
        <v>112</v>
      </c>
      <c r="F3" s="62" t="s">
        <v>113</v>
      </c>
      <c r="G3" s="62" t="s">
        <v>114</v>
      </c>
      <c r="H3" s="62" t="s">
        <v>115</v>
      </c>
      <c r="I3" s="62" t="s">
        <v>116</v>
      </c>
      <c r="J3" s="62" t="s">
        <v>35</v>
      </c>
      <c r="K3" s="6"/>
      <c r="L3" s="41"/>
      <c r="M3" s="6"/>
      <c r="P3" s="6"/>
      <c r="Q3" s="6"/>
    </row>
    <row r="4" spans="2:27" ht="30" customHeight="1" thickTop="1" thickBot="1" x14ac:dyDescent="0.4">
      <c r="B4" s="34" t="s">
        <v>97</v>
      </c>
      <c r="C4" s="35" t="s">
        <v>94</v>
      </c>
      <c r="D4" s="63" t="str">
        <f>IF(ISERROR(VLOOKUP(C4,Matriz!$I$5:$J$24,2,FALSE)),"",VLOOKUP(C4,Matriz!$I$5:$J$24,2,FALSE))</f>
        <v/>
      </c>
      <c r="E4" s="36" t="s">
        <v>87</v>
      </c>
      <c r="F4" s="64" t="str">
        <f>IF(E4=0,"",VLOOKUP(E4,Líderes!$B$4:$C$53,2,FALSE))</f>
        <v>Financeiro</v>
      </c>
      <c r="G4" s="38">
        <v>44197</v>
      </c>
      <c r="H4" s="39">
        <v>44226</v>
      </c>
      <c r="I4" s="40" t="s">
        <v>60</v>
      </c>
      <c r="J4" s="63" t="str">
        <f ca="1">IF(I4=0,"",IF(I4="Concluído","Concluído",IF(AND(TODAY()&gt;H4,I4&lt;&gt;"Concluído"),"Atrasado",IF(AND(TODAY()&lt;G4,I4="Não iniciado"),"Aguardando",IF(AND(TODAY()&lt;G4,I4="Em andamento"),"Adiantado",IF(AND(TODAY()&gt;=G4,TODAY()&lt;=H4,I4="Em andamento"),"Em andamento","Atrasado"))))))</f>
        <v>Atrasado</v>
      </c>
      <c r="L4" s="1" t="e">
        <f>Líderes!#REF!</f>
        <v>#REF!</v>
      </c>
      <c r="Q4" s="42"/>
    </row>
    <row r="5" spans="2:27" ht="30" customHeight="1" thickTop="1" thickBot="1" x14ac:dyDescent="0.4">
      <c r="B5" s="34" t="s">
        <v>98</v>
      </c>
      <c r="C5" s="33" t="s">
        <v>96</v>
      </c>
      <c r="D5" s="63" t="str">
        <f>IF(ISERROR(VLOOKUP(C5,Matriz!$I$5:$J$24,2,FALSE)),"",VLOOKUP(C5,Matriz!$I$5:$J$24,2,FALSE))</f>
        <v/>
      </c>
      <c r="E5" s="36" t="s">
        <v>88</v>
      </c>
      <c r="F5" s="64" t="str">
        <f>IF(E5=0,"",VLOOKUP(E5,Líderes!$B$4:$C$53,2,FALSE))</f>
        <v>Operações</v>
      </c>
      <c r="G5" s="38">
        <v>44198</v>
      </c>
      <c r="H5" s="39">
        <v>44227</v>
      </c>
      <c r="I5" s="40" t="s">
        <v>60</v>
      </c>
      <c r="J5" s="63" t="str">
        <f t="shared" ref="J5:J22" ca="1" si="0">IF(I5=0,"",IF(I5="Concluído","Concluído",IF(AND(TODAY()&gt;H5,I5&lt;&gt;"Concluído"),"Atrasado",IF(AND(TODAY()&lt;G5,I5="Não iniciado"),"Aguardando",IF(AND(TODAY()&lt;G5,I5="Em andamento"),"Adiantado",IF(AND(TODAY()&gt;=G5,TODAY()&lt;=H5,I5="Em andamento"),"Em andamento","Atrasado"))))))</f>
        <v>Atrasado</v>
      </c>
      <c r="L5" s="1" t="str">
        <f>Líderes!B4</f>
        <v>Colaborador 1</v>
      </c>
      <c r="N5" s="1">
        <v>1</v>
      </c>
      <c r="O5" s="42" t="str">
        <f>IFERROR(VLOOKUP(LARGE(Matriz!$H$5:$H$24,$N5),Matriz!$H$5:$I$24,2,FALSE),"")</f>
        <v>Avanço da regulamentação da Inteligência Artificial no Brasil</v>
      </c>
    </row>
    <row r="6" spans="2:27" ht="30" customHeight="1" thickTop="1" thickBot="1" x14ac:dyDescent="0.4">
      <c r="B6" s="34" t="s">
        <v>99</v>
      </c>
      <c r="C6" s="33" t="s">
        <v>93</v>
      </c>
      <c r="D6" s="63" t="str">
        <f>IF(ISERROR(VLOOKUP(C6,Matriz!$I$5:$J$24,2,FALSE)),"",VLOOKUP(C6,Matriz!$I$5:$J$24,2,FALSE))</f>
        <v/>
      </c>
      <c r="E6" s="36" t="s">
        <v>89</v>
      </c>
      <c r="F6" s="64" t="str">
        <f>IF(E6=0,"",VLOOKUP(E6,Líderes!$B$4:$C$53,2,FALSE))</f>
        <v>Operações</v>
      </c>
      <c r="G6" s="38">
        <v>44199</v>
      </c>
      <c r="H6" s="39">
        <v>44228</v>
      </c>
      <c r="I6" s="40" t="s">
        <v>103</v>
      </c>
      <c r="J6" s="63" t="str">
        <f t="shared" ca="1" si="0"/>
        <v>Atrasado</v>
      </c>
      <c r="L6" s="1" t="str">
        <f>Líderes!B5</f>
        <v>Colaborador 2</v>
      </c>
      <c r="N6" s="1">
        <v>2</v>
      </c>
      <c r="O6" s="42" t="str">
        <f>IFERROR(VLOOKUP(LARGE(Matriz!$H$5:$H$24,$N6),Matriz!$H$5:$I$24,2,FALSE),"")</f>
        <v>Adoção descontrolada de ferramentas de IA pelos funcionários (Shadow AI)</v>
      </c>
    </row>
    <row r="7" spans="2:27" ht="30" customHeight="1" thickTop="1" thickBot="1" x14ac:dyDescent="0.4">
      <c r="B7" s="34" t="s">
        <v>100</v>
      </c>
      <c r="C7" s="33" t="s">
        <v>95</v>
      </c>
      <c r="D7" s="63" t="str">
        <f>IF(ISERROR(VLOOKUP(C7,Matriz!$I$5:$J$24,2,FALSE)),"",VLOOKUP(C7,Matriz!$I$5:$J$24,2,FALSE))</f>
        <v/>
      </c>
      <c r="E7" s="36" t="s">
        <v>90</v>
      </c>
      <c r="F7" s="64" t="str">
        <f>IF(E7=0,"",VLOOKUP(E7,Líderes!$B$4:$C$53,2,FALSE))</f>
        <v>Qualidade</v>
      </c>
      <c r="G7" s="38">
        <v>44200</v>
      </c>
      <c r="H7" s="39">
        <v>44229</v>
      </c>
      <c r="I7" s="40" t="s">
        <v>103</v>
      </c>
      <c r="J7" s="63" t="str">
        <f t="shared" ca="1" si="0"/>
        <v>Atrasado</v>
      </c>
      <c r="L7" s="1" t="str">
        <f>Líderes!B6</f>
        <v>Colaborador 3</v>
      </c>
      <c r="N7" s="1">
        <v>3</v>
      </c>
      <c r="O7" s="42" t="str">
        <f>IFERROR(VLOOKUP(LARGE(Matriz!$H$5:$H$24,$N7),Matriz!$H$5:$I$24,2,FALSE),"")</f>
        <v>Variação cambial (Dólar) impactando licenças de Cloud (AWS, Azure, etc.)</v>
      </c>
    </row>
    <row r="8" spans="2:27" ht="30" customHeight="1" thickTop="1" thickBot="1" x14ac:dyDescent="0.4">
      <c r="B8" s="20"/>
      <c r="C8" s="33"/>
      <c r="D8" s="63" t="str">
        <f>IF(ISERROR(VLOOKUP(C8,Matriz!$I$5:$J$24,2,FALSE)),"",VLOOKUP(C8,Matriz!$I$5:$J$24,2,FALSE))</f>
        <v/>
      </c>
      <c r="E8" s="36"/>
      <c r="F8" s="64" t="str">
        <f>IF(E8=0,"",VLOOKUP(E8,Líderes!$B$4:$C$53,2,FALSE))</f>
        <v/>
      </c>
      <c r="G8" s="18"/>
      <c r="H8" s="19"/>
      <c r="I8" s="40"/>
      <c r="J8" s="63" t="str">
        <f t="shared" ca="1" si="0"/>
        <v/>
      </c>
      <c r="L8" s="1" t="str">
        <f>Líderes!B7</f>
        <v>Colaborador 4</v>
      </c>
      <c r="N8" s="1">
        <v>4</v>
      </c>
      <c r="O8" s="42" t="str">
        <f>IFERROR(VLOOKUP(LARGE(Matriz!$H$5:$H$24,$N8),Matriz!$H$5:$I$24,2,FALSE),"")</f>
        <v>Escassez de mão de obra superespecializada em dados e IA no mercado</v>
      </c>
    </row>
    <row r="9" spans="2:27" ht="30" customHeight="1" thickTop="1" thickBot="1" x14ac:dyDescent="0.4">
      <c r="B9" s="20"/>
      <c r="C9" s="33"/>
      <c r="D9" s="63" t="str">
        <f>IF(ISERROR(VLOOKUP(C9,Matriz!$I$5:$J$24,2,FALSE)),"",VLOOKUP(C9,Matriz!$I$5:$J$24,2,FALSE))</f>
        <v/>
      </c>
      <c r="E9" s="36"/>
      <c r="F9" s="64" t="str">
        <f>IF(E9=0,"",VLOOKUP(E9,Líderes!$B$4:$C$53,2,FALSE))</f>
        <v/>
      </c>
      <c r="G9" s="18"/>
      <c r="H9" s="19"/>
      <c r="I9" s="40"/>
      <c r="J9" s="63" t="str">
        <f t="shared" ca="1" si="0"/>
        <v/>
      </c>
      <c r="L9" s="1" t="str">
        <f>Líderes!B8</f>
        <v>Colaborador 5</v>
      </c>
      <c r="N9" s="1">
        <v>5</v>
      </c>
      <c r="O9" s="42" t="str">
        <f>IFERROR(VLOOKUP(LARGE(Matriz!$H$5:$H$24,$N9),Matriz!$H$5:$I$24,2,FALSE),"")</f>
        <v>Regulamentação e fiscalização da LGPD no uso de dados corporativos</v>
      </c>
    </row>
    <row r="10" spans="2:27" ht="30" customHeight="1" thickTop="1" thickBot="1" x14ac:dyDescent="0.4">
      <c r="B10" s="20"/>
      <c r="C10" s="33"/>
      <c r="D10" s="63" t="str">
        <f>IF(ISERROR(VLOOKUP(C10,Matriz!$I$5:$J$24,2,FALSE)),"",VLOOKUP(C10,Matriz!$I$5:$J$24,2,FALSE))</f>
        <v/>
      </c>
      <c r="E10" s="36"/>
      <c r="F10" s="64" t="str">
        <f>IF(E10=0,"",VLOOKUP(E10,Líderes!$B$4:$C$53,2,FALSE))</f>
        <v/>
      </c>
      <c r="G10" s="18"/>
      <c r="H10" s="19"/>
      <c r="I10" s="40"/>
      <c r="J10" s="63" t="str">
        <f t="shared" ca="1" si="0"/>
        <v/>
      </c>
      <c r="L10" s="1" t="str">
        <f>Líderes!B9</f>
        <v>Colaborador 6</v>
      </c>
      <c r="N10" s="1">
        <v>6</v>
      </c>
      <c r="O10" s="42" t="str">
        <f>IFERROR(VLOOKUP(LARGE(Matriz!$H$5:$H$24,$N10),Matriz!$H$5:$I$24,2,FALSE),"")</f>
        <v>Tributação sobre serviços de tecnologia e computação em nuvem</v>
      </c>
    </row>
    <row r="11" spans="2:27" ht="30" customHeight="1" thickTop="1" thickBot="1" x14ac:dyDescent="0.4">
      <c r="B11" s="20"/>
      <c r="C11" s="33"/>
      <c r="D11" s="63" t="str">
        <f>IF(ISERROR(VLOOKUP(C11,Matriz!$I$5:$J$24,2,FALSE)),"",VLOOKUP(C11,Matriz!$I$5:$J$24,2,FALSE))</f>
        <v/>
      </c>
      <c r="E11" s="36"/>
      <c r="F11" s="64" t="str">
        <f>IF(E11=0,"",VLOOKUP(E11,Líderes!$B$4:$C$53,2,FALSE))</f>
        <v/>
      </c>
      <c r="G11" s="18"/>
      <c r="H11" s="19"/>
      <c r="I11" s="40"/>
      <c r="J11" s="63" t="str">
        <f t="shared" ca="1" si="0"/>
        <v/>
      </c>
      <c r="L11" s="1">
        <f>Líderes!B10</f>
        <v>0</v>
      </c>
      <c r="N11" s="1">
        <v>7</v>
      </c>
      <c r="O11" s="42" t="str">
        <f>IFERROR(VLOOKUP(LARGE(Matriz!$H$5:$H$24,$N11),Matriz!$H$5:$I$24,2,FALSE),"")</f>
        <v>Inflação salarial e custo para atração/retenção de talentos de TI</v>
      </c>
    </row>
    <row r="12" spans="2:27" ht="30" customHeight="1" thickTop="1" thickBot="1" x14ac:dyDescent="0.4">
      <c r="B12" s="20"/>
      <c r="C12" s="33"/>
      <c r="D12" s="63" t="str">
        <f>IF(ISERROR(VLOOKUP(C12,Matriz!$I$5:$J$24,2,FALSE)),"",VLOOKUP(C12,Matriz!$I$5:$J$24,2,FALSE))</f>
        <v/>
      </c>
      <c r="E12" s="36"/>
      <c r="F12" s="64" t="str">
        <f>IF(E12=0,"",VLOOKUP(E12,Líderes!$B$4:$C$53,2,FALSE))</f>
        <v/>
      </c>
      <c r="G12" s="18"/>
      <c r="H12" s="19"/>
      <c r="I12" s="40"/>
      <c r="J12" s="63" t="str">
        <f t="shared" ca="1" si="0"/>
        <v/>
      </c>
      <c r="L12" s="1">
        <f>Líderes!B11</f>
        <v>0</v>
      </c>
      <c r="N12" s="1">
        <v>8</v>
      </c>
      <c r="O12" s="42" t="str">
        <f>IFERROR(VLOOKUP(LARGE(Matriz!$H$5:$H$24,$N12),Matriz!$H$5:$I$24,2,FALSE),"")</f>
        <v>Preocupação crescente com a privacidade e vazamento de dados corporativos</v>
      </c>
    </row>
    <row r="13" spans="2:27" ht="30" customHeight="1" thickTop="1" thickBot="1" x14ac:dyDescent="0.4">
      <c r="B13" s="20"/>
      <c r="C13" s="33"/>
      <c r="D13" s="63" t="str">
        <f>IF(ISERROR(VLOOKUP(C13,Matriz!$I$5:$J$24,2,FALSE)),"",VLOOKUP(C13,Matriz!$I$5:$J$24,2,FALSE))</f>
        <v/>
      </c>
      <c r="E13" s="36"/>
      <c r="F13" s="64" t="str">
        <f>IF(E13=0,"",VLOOKUP(E13,Líderes!$B$4:$C$53,2,FALSE))</f>
        <v/>
      </c>
      <c r="G13" s="18"/>
      <c r="H13" s="19"/>
      <c r="I13" s="40"/>
      <c r="J13" s="63" t="str">
        <f t="shared" ca="1" si="0"/>
        <v/>
      </c>
      <c r="L13" s="1">
        <f>Líderes!B12</f>
        <v>0</v>
      </c>
      <c r="N13" s="1">
        <v>9</v>
      </c>
      <c r="O13" s="42" t="str">
        <f>IFERROR(VLOOKUP(LARGE(Matriz!$H$5:$H$24,$N13),Matriz!$H$5:$I$24,2,FALSE),"")</f>
        <v>Aumento da complexidade na integração de múltiplas plataformas (Salesforce, Oracle, etc.)</v>
      </c>
    </row>
    <row r="14" spans="2:27" ht="30" customHeight="1" thickTop="1" thickBot="1" x14ac:dyDescent="0.4">
      <c r="B14" s="20"/>
      <c r="C14" s="33"/>
      <c r="D14" s="63" t="str">
        <f>IF(ISERROR(VLOOKUP(C14,Matriz!$I$5:$J$24,2,FALSE)),"",VLOOKUP(C14,Matriz!$I$5:$J$24,2,FALSE))</f>
        <v/>
      </c>
      <c r="E14" s="36"/>
      <c r="F14" s="64" t="str">
        <f>IF(E14=0,"",VLOOKUP(E14,Líderes!$B$4:$C$53,2,FALSE))</f>
        <v/>
      </c>
      <c r="G14" s="18"/>
      <c r="H14" s="19"/>
      <c r="I14" s="40"/>
      <c r="J14" s="63" t="str">
        <f t="shared" ca="1" si="0"/>
        <v/>
      </c>
      <c r="L14" s="1">
        <f>Líderes!B13</f>
        <v>0</v>
      </c>
      <c r="N14" s="1">
        <v>10</v>
      </c>
      <c r="O14" s="42" t="str">
        <f>IFERROR(VLOOKUP(LARGE(Matriz!$H$5:$H$24,$N14),Matriz!$H$5:$I$24,2,FALSE),"")</f>
        <v>Regras sobre transferência internacional de dados (Cloud)</v>
      </c>
    </row>
    <row r="15" spans="2:27" ht="30" customHeight="1" thickTop="1" thickBot="1" x14ac:dyDescent="0.4">
      <c r="B15" s="20"/>
      <c r="C15" s="33"/>
      <c r="D15" s="63" t="str">
        <f>IF(ISERROR(VLOOKUP(C15,Matriz!$I$5:$J$24,2,FALSE)),"",VLOOKUP(C15,Matriz!$I$5:$J$24,2,FALSE))</f>
        <v/>
      </c>
      <c r="E15" s="36"/>
      <c r="F15" s="64" t="str">
        <f>IF(E15=0,"",VLOOKUP(E15,Líderes!$B$4:$C$53,2,FALSE))</f>
        <v/>
      </c>
      <c r="G15" s="18"/>
      <c r="H15" s="19"/>
      <c r="I15" s="40"/>
      <c r="J15" s="63" t="str">
        <f t="shared" ca="1" si="0"/>
        <v/>
      </c>
      <c r="L15" s="1">
        <f>Líderes!B14</f>
        <v>0</v>
      </c>
      <c r="N15" s="1">
        <v>11</v>
      </c>
      <c r="O15" s="42" t="str">
        <f>IFERROR(VLOOKUP(LARGE(Matriz!$H$5:$H$24,$N15),Matriz!$H$5:$I$24,2,FALSE),"")</f>
        <v>Competitividade e pressão sobre o pricing de consultorias de dados</v>
      </c>
    </row>
    <row r="16" spans="2:27" ht="30" customHeight="1" thickTop="1" thickBot="1" x14ac:dyDescent="0.4">
      <c r="B16" s="20"/>
      <c r="C16" s="33"/>
      <c r="D16" s="63" t="str">
        <f>IF(ISERROR(VLOOKUP(C16,Matriz!$I$5:$J$24,2,FALSE)),"",VLOOKUP(C16,Matriz!$I$5:$J$24,2,FALSE))</f>
        <v/>
      </c>
      <c r="E16" s="36"/>
      <c r="F16" s="64" t="str">
        <f>IF(E16=0,"",VLOOKUP(E16,Líderes!$B$4:$C$53,2,FALSE))</f>
        <v/>
      </c>
      <c r="G16" s="18"/>
      <c r="H16" s="19"/>
      <c r="I16" s="40"/>
      <c r="J16" s="63" t="str">
        <f t="shared" ca="1" si="0"/>
        <v/>
      </c>
      <c r="L16" s="1">
        <f>Líderes!B15</f>
        <v>0</v>
      </c>
      <c r="N16" s="1">
        <v>12</v>
      </c>
      <c r="O16" s="42" t="str">
        <f>IFERROR(VLOOKUP(LARGE(Matriz!$H$5:$H$24,$N16),Matriz!$H$5:$I$24,2,FALSE),"")</f>
        <v>Rápida evolução e surgimento de novas ferramentas de Inteligência Artificial</v>
      </c>
    </row>
    <row r="17" spans="2:15" ht="30" customHeight="1" thickTop="1" thickBot="1" x14ac:dyDescent="0.4">
      <c r="B17" s="20"/>
      <c r="C17" s="33"/>
      <c r="D17" s="63" t="str">
        <f>IF(ISERROR(VLOOKUP(C17,Matriz!$I$5:$J$24,2,FALSE)),"",VLOOKUP(C17,Matriz!$I$5:$J$24,2,FALSE))</f>
        <v/>
      </c>
      <c r="E17" s="36"/>
      <c r="F17" s="64" t="str">
        <f>IF(E17=0,"",VLOOKUP(E17,Líderes!$B$4:$C$53,2,FALSE))</f>
        <v/>
      </c>
      <c r="G17" s="18"/>
      <c r="H17" s="19"/>
      <c r="I17" s="40"/>
      <c r="J17" s="63" t="str">
        <f t="shared" ca="1" si="0"/>
        <v/>
      </c>
      <c r="L17" s="1">
        <f>Líderes!B16</f>
        <v>0</v>
      </c>
      <c r="N17" s="1">
        <v>13</v>
      </c>
      <c r="O17" s="42" t="str">
        <f>IFERROR(VLOOKUP(LARGE(Matriz!$H$5:$H$24,$N17),Matriz!$H$5:$I$24,2,FALSE),"")</f>
        <v>Crescimento da necessidade de plataformas de Governança de Dados e IA</v>
      </c>
    </row>
    <row r="18" spans="2:15" ht="30" customHeight="1" thickTop="1" thickBot="1" x14ac:dyDescent="0.4">
      <c r="B18" s="20"/>
      <c r="C18" s="33"/>
      <c r="D18" s="63" t="str">
        <f>IF(ISERROR(VLOOKUP(C18,Matriz!$I$5:$J$24,2,FALSE)),"",VLOOKUP(C18,Matriz!$I$5:$J$24,2,FALSE))</f>
        <v/>
      </c>
      <c r="E18" s="36"/>
      <c r="F18" s="64" t="str">
        <f>IF(E18=0,"",VLOOKUP(E18,Líderes!$B$4:$C$53,2,FALSE))</f>
        <v/>
      </c>
      <c r="G18" s="18"/>
      <c r="H18" s="19"/>
      <c r="I18" s="40"/>
      <c r="J18" s="63" t="str">
        <f t="shared" ca="1" si="0"/>
        <v/>
      </c>
      <c r="L18" s="1">
        <f>Líderes!B17</f>
        <v>0</v>
      </c>
      <c r="N18" s="1">
        <v>14</v>
      </c>
      <c r="O18" s="42" t="str">
        <f>IFERROR(VLOOKUP(LARGE(Matriz!$H$5:$H$24,$N18),Matriz!$H$5:$I$24,2,FALSE),"")</f>
        <v>Marcos regulatórios e de compliance no setor financeiro</v>
      </c>
    </row>
    <row r="19" spans="2:15" ht="30" customHeight="1" thickTop="1" thickBot="1" x14ac:dyDescent="0.4">
      <c r="B19" s="20"/>
      <c r="C19" s="33"/>
      <c r="D19" s="63" t="str">
        <f>IF(ISERROR(VLOOKUP(C19,Matriz!$I$5:$J$24,2,FALSE)),"",VLOOKUP(C19,Matriz!$I$5:$J$24,2,FALSE))</f>
        <v/>
      </c>
      <c r="E19" s="36"/>
      <c r="F19" s="64" t="str">
        <f>IF(E19=0,"",VLOOKUP(E19,Líderes!$B$4:$C$53,2,FALSE))</f>
        <v/>
      </c>
      <c r="G19" s="18"/>
      <c r="H19" s="19"/>
      <c r="I19" s="40"/>
      <c r="J19" s="63" t="str">
        <f t="shared" ca="1" si="0"/>
        <v/>
      </c>
      <c r="L19" s="1">
        <f>Líderes!B18</f>
        <v>0</v>
      </c>
      <c r="N19" s="1">
        <v>15</v>
      </c>
      <c r="O19" s="42" t="str">
        <f>IFERROR(VLOOKUP(LARGE(Matriz!$H$5:$H$24,$N19),Matriz!$H$5:$I$24,2,FALSE),"")</f>
        <v>Evolução dos ecossistemas de Cloud e Data Lakehouses (Databricks, Snowflake)</v>
      </c>
    </row>
    <row r="20" spans="2:15" ht="30" customHeight="1" thickTop="1" thickBot="1" x14ac:dyDescent="0.4">
      <c r="B20" s="20"/>
      <c r="C20" s="33"/>
      <c r="D20" s="63" t="str">
        <f>IF(ISERROR(VLOOKUP(C20,Matriz!$I$5:$J$24,2,FALSE)),"",VLOOKUP(C20,Matriz!$I$5:$J$24,2,FALSE))</f>
        <v/>
      </c>
      <c r="E20" s="36"/>
      <c r="F20" s="64" t="str">
        <f>IF(E20=0,"",VLOOKUP(E20,Líderes!$B$4:$C$53,2,FALSE))</f>
        <v/>
      </c>
      <c r="G20" s="18"/>
      <c r="H20" s="19"/>
      <c r="I20" s="40"/>
      <c r="J20" s="63" t="str">
        <f t="shared" ca="1" si="0"/>
        <v/>
      </c>
      <c r="L20" s="1">
        <f>Líderes!B19</f>
        <v>0</v>
      </c>
      <c r="N20" s="1">
        <v>16</v>
      </c>
      <c r="O20" s="42" t="str">
        <f>IFERROR(VLOOKUP(LARGE(Matriz!$H$5:$H$24,$N20),Matriz!$H$5:$I$24,2,FALSE),"")</f>
        <v>Crescimento de investimentos tecnológicos no Setor Financeiro e Seguradoras</v>
      </c>
    </row>
    <row r="21" spans="2:15" ht="30" customHeight="1" thickTop="1" thickBot="1" x14ac:dyDescent="0.4">
      <c r="B21" s="20"/>
      <c r="C21" s="33"/>
      <c r="D21" s="63" t="str">
        <f>IF(ISERROR(VLOOKUP(C21,Matriz!$I$5:$J$24,2,FALSE)),"",VLOOKUP(C21,Matriz!$I$5:$J$24,2,FALSE))</f>
        <v/>
      </c>
      <c r="E21" s="36"/>
      <c r="F21" s="64" t="str">
        <f>IF(E21=0,"",VLOOKUP(E21,Líderes!$B$4:$C$53,2,FALSE))</f>
        <v/>
      </c>
      <c r="G21" s="18"/>
      <c r="H21" s="19"/>
      <c r="I21" s="40"/>
      <c r="J21" s="63" t="str">
        <f t="shared" ca="1" si="0"/>
        <v/>
      </c>
      <c r="L21" s="1">
        <f>Líderes!B20</f>
        <v>0</v>
      </c>
      <c r="N21" s="1">
        <v>17</v>
      </c>
      <c r="O21" s="42" t="str">
        <f>IFERROR(VLOOKUP(LARGE(Matriz!$H$5:$H$24,$N21),Matriz!$H$5:$I$24,2,FALSE),"")</f>
        <v>Necessidade contínua de capacitação das equipes (Lifelong learning)</v>
      </c>
    </row>
    <row r="22" spans="2:15" ht="30" customHeight="1" thickTop="1" thickBot="1" x14ac:dyDescent="0.4">
      <c r="B22" s="20"/>
      <c r="C22" s="33"/>
      <c r="D22" s="63" t="str">
        <f>IF(ISERROR(VLOOKUP(C22,Matriz!$I$5:$J$24,2,FALSE)),"",VLOOKUP(C22,Matriz!$I$5:$J$24,2,FALSE))</f>
        <v/>
      </c>
      <c r="E22" s="36"/>
      <c r="F22" s="64" t="str">
        <f>IF(E22=0,"",VLOOKUP(E22,Líderes!$B$4:$C$53,2,FALSE))</f>
        <v/>
      </c>
      <c r="G22" s="18"/>
      <c r="H22" s="19"/>
      <c r="I22" s="40"/>
      <c r="J22" s="63" t="str">
        <f t="shared" ca="1" si="0"/>
        <v/>
      </c>
      <c r="L22" s="1">
        <f>Líderes!B21</f>
        <v>0</v>
      </c>
      <c r="N22" s="1">
        <v>18</v>
      </c>
      <c r="O22" s="42" t="str">
        <f>IFERROR(VLOOKUP(LARGE(Matriz!$H$5:$H$24,$N22),Matriz!$H$5:$I$24,2,FALSE),"")</f>
        <v>Democratização do Self-Service BI exigindo mais controle e monitoramento</v>
      </c>
    </row>
    <row r="23" spans="2:15" ht="30" customHeight="1" thickTop="1" thickBot="1" x14ac:dyDescent="0.4">
      <c r="B23" s="20"/>
      <c r="C23" s="33"/>
      <c r="D23" s="63" t="str">
        <f>IF(ISERROR(VLOOKUP(C23,Matriz!$I$5:$J$24,2,FALSE)),"",VLOOKUP(C23,Matriz!$I$5:$J$24,2,FALSE))</f>
        <v/>
      </c>
      <c r="E23" s="36"/>
      <c r="F23" s="64" t="str">
        <f>IF(E23=0,"",VLOOKUP(E23,Líderes!$B$4:$C$53,2,FALSE))</f>
        <v/>
      </c>
      <c r="G23" s="18"/>
      <c r="H23" s="19"/>
      <c r="I23" s="40"/>
      <c r="J23" s="65"/>
      <c r="L23" s="1">
        <f>Líderes!B22</f>
        <v>0</v>
      </c>
      <c r="N23" s="1">
        <v>19</v>
      </c>
      <c r="O23" s="42" t="str">
        <f>IFERROR(VLOOKUP(LARGE(Matriz!$H$5:$H$24,$N23),Matriz!$H$5:$I$24,2,FALSE),"")</f>
        <v>Resistência social e medo da substituição de empregos por Inteligência Artificial</v>
      </c>
    </row>
    <row r="24" spans="2:15" ht="30" customHeight="1" thickTop="1" thickBot="1" x14ac:dyDescent="0.4">
      <c r="B24" s="20"/>
      <c r="C24" s="33"/>
      <c r="D24" s="63" t="str">
        <f>IF(ISERROR(VLOOKUP(C24,Matriz!$I$5:$J$24,2,FALSE)),"",VLOOKUP(C24,Matriz!$I$5:$J$24,2,FALSE))</f>
        <v/>
      </c>
      <c r="E24" s="36"/>
      <c r="F24" s="64" t="str">
        <f>IF(E24=0,"",VLOOKUP(E24,Líderes!$B$4:$C$53,2,FALSE))</f>
        <v/>
      </c>
      <c r="G24" s="18"/>
      <c r="H24" s="19"/>
      <c r="I24" s="40"/>
      <c r="J24" s="65"/>
      <c r="L24" s="1">
        <f>Líderes!B23</f>
        <v>0</v>
      </c>
      <c r="N24" s="1">
        <v>20</v>
      </c>
      <c r="O24" s="42" t="str">
        <f>IFERROR(VLOOKUP(LARGE(Matriz!$H$5:$H$24,$N24),Matriz!$H$5:$I$24,2,FALSE),"")</f>
        <v>Orçamento corporativo focado em eficiência e redução de custos (FinOps)</v>
      </c>
    </row>
    <row r="25" spans="2:15" ht="30" customHeight="1" thickTop="1" thickBot="1" x14ac:dyDescent="0.4">
      <c r="B25" s="20"/>
      <c r="C25" s="33"/>
      <c r="D25" s="63" t="str">
        <f>IF(ISERROR(VLOOKUP(C25,Matriz!$I$5:$J$24,2,FALSE)),"",VLOOKUP(C25,Matriz!$I$5:$J$24,2,FALSE))</f>
        <v/>
      </c>
      <c r="E25" s="36"/>
      <c r="F25" s="64" t="str">
        <f>IF(E25=0,"",VLOOKUP(E25,Líderes!$B$4:$C$53,2,FALSE))</f>
        <v/>
      </c>
      <c r="G25" s="18"/>
      <c r="H25" s="19"/>
      <c r="I25" s="40"/>
      <c r="J25" s="65"/>
      <c r="L25" s="1">
        <f>Líderes!B24</f>
        <v>0</v>
      </c>
      <c r="O25" s="42"/>
    </row>
    <row r="26" spans="2:15" ht="30" customHeight="1" thickTop="1" thickBot="1" x14ac:dyDescent="0.4">
      <c r="B26" s="20"/>
      <c r="C26" s="33"/>
      <c r="D26" s="63" t="str">
        <f>IF(ISERROR(VLOOKUP(C26,Matriz!$I$5:$J$24,2,FALSE)),"",VLOOKUP(C26,Matriz!$I$5:$J$24,2,FALSE))</f>
        <v/>
      </c>
      <c r="E26" s="36"/>
      <c r="F26" s="64" t="str">
        <f>IF(E26=0,"",VLOOKUP(E26,Líderes!$B$4:$C$53,2,FALSE))</f>
        <v/>
      </c>
      <c r="G26" s="18"/>
      <c r="H26" s="19"/>
      <c r="I26" s="40"/>
      <c r="J26" s="65"/>
      <c r="L26" s="1">
        <f>Líderes!B25</f>
        <v>0</v>
      </c>
      <c r="O26" s="42"/>
    </row>
    <row r="27" spans="2:15" ht="30" customHeight="1" thickTop="1" thickBot="1" x14ac:dyDescent="0.4">
      <c r="B27" s="20"/>
      <c r="C27" s="33"/>
      <c r="D27" s="63" t="str">
        <f>IF(ISERROR(VLOOKUP(C27,Matriz!$I$5:$J$24,2,FALSE)),"",VLOOKUP(C27,Matriz!$I$5:$J$24,2,FALSE))</f>
        <v/>
      </c>
      <c r="E27" s="36"/>
      <c r="F27" s="64" t="str">
        <f>IF(E27=0,"",VLOOKUP(E27,Líderes!$B$4:$C$53,2,FALSE))</f>
        <v/>
      </c>
      <c r="G27" s="18"/>
      <c r="H27" s="19"/>
      <c r="I27" s="40"/>
      <c r="J27" s="65"/>
      <c r="L27" s="1">
        <f>Líderes!B26</f>
        <v>0</v>
      </c>
      <c r="O27" s="42"/>
    </row>
    <row r="28" spans="2:15" ht="30" customHeight="1" thickTop="1" thickBot="1" x14ac:dyDescent="0.4">
      <c r="B28" s="20"/>
      <c r="C28" s="33"/>
      <c r="D28" s="63" t="str">
        <f>IF(ISERROR(VLOOKUP(C28,Matriz!$I$5:$J$24,2,FALSE)),"",VLOOKUP(C28,Matriz!$I$5:$J$24,2,FALSE))</f>
        <v/>
      </c>
      <c r="E28" s="36"/>
      <c r="F28" s="64" t="str">
        <f>IF(E28=0,"",VLOOKUP(E28,Líderes!$B$4:$C$53,2,FALSE))</f>
        <v/>
      </c>
      <c r="G28" s="18"/>
      <c r="H28" s="19"/>
      <c r="I28" s="40"/>
      <c r="J28" s="65"/>
      <c r="L28" s="1">
        <f>Líderes!B27</f>
        <v>0</v>
      </c>
      <c r="O28" s="42"/>
    </row>
    <row r="29" spans="2:15" ht="30" customHeight="1" thickTop="1" thickBot="1" x14ac:dyDescent="0.4">
      <c r="B29" s="20"/>
      <c r="C29" s="33"/>
      <c r="D29" s="63" t="str">
        <f>IF(ISERROR(VLOOKUP(C29,Matriz!$I$5:$J$24,2,FALSE)),"",VLOOKUP(C29,Matriz!$I$5:$J$24,2,FALSE))</f>
        <v/>
      </c>
      <c r="E29" s="36"/>
      <c r="F29" s="64" t="str">
        <f>IF(E29=0,"",VLOOKUP(E29,Líderes!$B$4:$C$53,2,FALSE))</f>
        <v/>
      </c>
      <c r="G29" s="18"/>
      <c r="H29" s="19"/>
      <c r="I29" s="40"/>
      <c r="J29" s="65"/>
      <c r="L29" s="1">
        <f>Líderes!B28</f>
        <v>0</v>
      </c>
      <c r="O29" s="42"/>
    </row>
    <row r="30" spans="2:15" ht="30" customHeight="1" thickTop="1" thickBot="1" x14ac:dyDescent="0.4">
      <c r="B30" s="20"/>
      <c r="C30" s="33"/>
      <c r="D30" s="63" t="str">
        <f>IF(ISERROR(VLOOKUP(C30,Matriz!$I$5:$J$24,2,FALSE)),"",VLOOKUP(C30,Matriz!$I$5:$J$24,2,FALSE))</f>
        <v/>
      </c>
      <c r="E30" s="36"/>
      <c r="F30" s="64" t="str">
        <f>IF(E30=0,"",VLOOKUP(E30,Líderes!$B$4:$C$53,2,FALSE))</f>
        <v/>
      </c>
      <c r="G30" s="18"/>
      <c r="H30" s="19"/>
      <c r="I30" s="40"/>
      <c r="J30" s="65"/>
      <c r="L30" s="1">
        <f>Líderes!B29</f>
        <v>0</v>
      </c>
      <c r="O30" s="42"/>
    </row>
    <row r="31" spans="2:15" ht="30" customHeight="1" thickTop="1" thickBot="1" x14ac:dyDescent="0.4">
      <c r="B31" s="20"/>
      <c r="C31" s="33"/>
      <c r="D31" s="63" t="str">
        <f>IF(ISERROR(VLOOKUP(C31,Matriz!$I$5:$J$24,2,FALSE)),"",VLOOKUP(C31,Matriz!$I$5:$J$24,2,FALSE))</f>
        <v/>
      </c>
      <c r="E31" s="36"/>
      <c r="F31" s="64" t="str">
        <f>IF(E31=0,"",VLOOKUP(E31,Líderes!$B$4:$C$53,2,FALSE))</f>
        <v/>
      </c>
      <c r="G31" s="18"/>
      <c r="H31" s="19"/>
      <c r="I31" s="40"/>
      <c r="J31" s="65"/>
      <c r="L31" s="1">
        <f>Líderes!B30</f>
        <v>0</v>
      </c>
      <c r="O31" s="42"/>
    </row>
    <row r="32" spans="2:15" ht="30" customHeight="1" thickTop="1" thickBot="1" x14ac:dyDescent="0.4">
      <c r="B32" s="20"/>
      <c r="C32" s="33"/>
      <c r="D32" s="63" t="str">
        <f>IF(ISERROR(VLOOKUP(C32,Matriz!$I$5:$J$24,2,FALSE)),"",VLOOKUP(C32,Matriz!$I$5:$J$24,2,FALSE))</f>
        <v/>
      </c>
      <c r="E32" s="36"/>
      <c r="F32" s="64" t="str">
        <f>IF(E32=0,"",VLOOKUP(E32,Líderes!$B$4:$C$53,2,FALSE))</f>
        <v/>
      </c>
      <c r="G32" s="18"/>
      <c r="H32" s="19"/>
      <c r="I32" s="40"/>
      <c r="J32" s="65"/>
      <c r="L32" s="1">
        <f>Líderes!B31</f>
        <v>0</v>
      </c>
      <c r="O32" s="42"/>
    </row>
    <row r="33" spans="2:15" ht="30" customHeight="1" thickTop="1" thickBot="1" x14ac:dyDescent="0.4">
      <c r="B33" s="20"/>
      <c r="C33" s="33"/>
      <c r="D33" s="63" t="str">
        <f>IF(ISERROR(VLOOKUP(C33,Matriz!$I$5:$J$24,2,FALSE)),"",VLOOKUP(C33,Matriz!$I$5:$J$24,2,FALSE))</f>
        <v/>
      </c>
      <c r="E33" s="36"/>
      <c r="F33" s="64" t="str">
        <f>IF(E33=0,"",VLOOKUP(E33,Líderes!$B$4:$C$53,2,FALSE))</f>
        <v/>
      </c>
      <c r="G33" s="18"/>
      <c r="H33" s="19"/>
      <c r="I33" s="40"/>
      <c r="J33" s="65"/>
      <c r="L33" s="1">
        <f>Líderes!B32</f>
        <v>0</v>
      </c>
      <c r="O33" s="42"/>
    </row>
    <row r="34" spans="2:15" ht="30" customHeight="1" thickTop="1" thickBot="1" x14ac:dyDescent="0.4">
      <c r="B34" s="20"/>
      <c r="C34" s="33"/>
      <c r="D34" s="63" t="str">
        <f>IF(ISERROR(VLOOKUP(C34,Matriz!$I$5:$J$24,2,FALSE)),"",VLOOKUP(C34,Matriz!$I$5:$J$24,2,FALSE))</f>
        <v/>
      </c>
      <c r="E34" s="36"/>
      <c r="F34" s="64" t="str">
        <f>IF(E34=0,"",VLOOKUP(E34,Líderes!$B$4:$C$53,2,FALSE))</f>
        <v/>
      </c>
      <c r="G34" s="18"/>
      <c r="H34" s="19"/>
      <c r="I34" s="40"/>
      <c r="J34" s="65"/>
      <c r="L34" s="1">
        <f>Líderes!B33</f>
        <v>0</v>
      </c>
      <c r="O34" s="42"/>
    </row>
    <row r="35" spans="2:15" ht="30" customHeight="1" thickTop="1" thickBot="1" x14ac:dyDescent="0.4">
      <c r="B35" s="20"/>
      <c r="C35" s="33"/>
      <c r="D35" s="63" t="str">
        <f>IF(ISERROR(VLOOKUP(C35,Matriz!$I$5:$J$24,2,FALSE)),"",VLOOKUP(C35,Matriz!$I$5:$J$24,2,FALSE))</f>
        <v/>
      </c>
      <c r="E35" s="36"/>
      <c r="F35" s="64" t="str">
        <f>IF(E35=0,"",VLOOKUP(E35,Líderes!$B$4:$C$53,2,FALSE))</f>
        <v/>
      </c>
      <c r="G35" s="18"/>
      <c r="H35" s="19"/>
      <c r="I35" s="40"/>
      <c r="J35" s="65"/>
      <c r="L35" s="1">
        <f>Líderes!B34</f>
        <v>0</v>
      </c>
      <c r="O35" s="42"/>
    </row>
    <row r="36" spans="2:15" ht="30" customHeight="1" thickTop="1" thickBot="1" x14ac:dyDescent="0.4">
      <c r="B36" s="20"/>
      <c r="C36" s="33"/>
      <c r="D36" s="63" t="str">
        <f>IF(ISERROR(VLOOKUP(C36,Matriz!$I$5:$J$24,2,FALSE)),"",VLOOKUP(C36,Matriz!$I$5:$J$24,2,FALSE))</f>
        <v/>
      </c>
      <c r="E36" s="36"/>
      <c r="F36" s="64" t="str">
        <f>IF(E36=0,"",VLOOKUP(E36,Líderes!$B$4:$C$53,2,FALSE))</f>
        <v/>
      </c>
      <c r="G36" s="18"/>
      <c r="H36" s="19"/>
      <c r="I36" s="40"/>
      <c r="J36" s="65"/>
      <c r="L36" s="1">
        <f>Líderes!B35</f>
        <v>0</v>
      </c>
      <c r="O36" s="42"/>
    </row>
    <row r="37" spans="2:15" ht="30" customHeight="1" thickTop="1" thickBot="1" x14ac:dyDescent="0.4">
      <c r="B37" s="20"/>
      <c r="C37" s="33"/>
      <c r="D37" s="63" t="str">
        <f>IF(ISERROR(VLOOKUP(C37,Matriz!$I$5:$J$24,2,FALSE)),"",VLOOKUP(C37,Matriz!$I$5:$J$24,2,FALSE))</f>
        <v/>
      </c>
      <c r="E37" s="36"/>
      <c r="F37" s="64" t="str">
        <f>IF(E37=0,"",VLOOKUP(E37,Líderes!$B$4:$C$53,2,FALSE))</f>
        <v/>
      </c>
      <c r="G37" s="18"/>
      <c r="H37" s="19"/>
      <c r="I37" s="40"/>
      <c r="J37" s="65"/>
      <c r="L37" s="1">
        <f>Líderes!B36</f>
        <v>0</v>
      </c>
      <c r="O37" s="42"/>
    </row>
    <row r="38" spans="2:15" ht="30" customHeight="1" thickTop="1" thickBot="1" x14ac:dyDescent="0.4">
      <c r="B38" s="20"/>
      <c r="C38" s="33"/>
      <c r="D38" s="63" t="str">
        <f>IF(ISERROR(VLOOKUP(C38,Matriz!$I$5:$J$24,2,FALSE)),"",VLOOKUP(C38,Matriz!$I$5:$J$24,2,FALSE))</f>
        <v/>
      </c>
      <c r="E38" s="36"/>
      <c r="F38" s="64" t="str">
        <f>IF(E38=0,"",VLOOKUP(E38,Líderes!$B$4:$C$53,2,FALSE))</f>
        <v/>
      </c>
      <c r="G38" s="18"/>
      <c r="H38" s="19"/>
      <c r="I38" s="40"/>
      <c r="J38" s="65"/>
      <c r="L38" s="1">
        <f>Líderes!B37</f>
        <v>0</v>
      </c>
      <c r="O38" s="42"/>
    </row>
    <row r="39" spans="2:15" ht="30" customHeight="1" thickTop="1" thickBot="1" x14ac:dyDescent="0.4">
      <c r="B39" s="20"/>
      <c r="C39" s="33"/>
      <c r="D39" s="63" t="str">
        <f>IF(ISERROR(VLOOKUP(C39,Matriz!$I$5:$J$24,2,FALSE)),"",VLOOKUP(C39,Matriz!$I$5:$J$24,2,FALSE))</f>
        <v/>
      </c>
      <c r="E39" s="36"/>
      <c r="F39" s="64" t="str">
        <f>IF(E39=0,"",VLOOKUP(E39,Líderes!$B$4:$C$53,2,FALSE))</f>
        <v/>
      </c>
      <c r="G39" s="18"/>
      <c r="H39" s="19"/>
      <c r="I39" s="40"/>
      <c r="J39" s="65"/>
      <c r="L39" s="1">
        <f>Líderes!B38</f>
        <v>0</v>
      </c>
      <c r="O39" s="42"/>
    </row>
    <row r="40" spans="2:15" ht="30" customHeight="1" thickTop="1" thickBot="1" x14ac:dyDescent="0.4">
      <c r="B40" s="20"/>
      <c r="C40" s="33"/>
      <c r="D40" s="63" t="str">
        <f>IF(ISERROR(VLOOKUP(C40,Matriz!$I$5:$J$24,2,FALSE)),"",VLOOKUP(C40,Matriz!$I$5:$J$24,2,FALSE))</f>
        <v/>
      </c>
      <c r="E40" s="36"/>
      <c r="F40" s="64" t="str">
        <f>IF(E40=0,"",VLOOKUP(E40,Líderes!$B$4:$C$53,2,FALSE))</f>
        <v/>
      </c>
      <c r="G40" s="18"/>
      <c r="H40" s="19"/>
      <c r="I40" s="40"/>
      <c r="J40" s="65"/>
      <c r="L40" s="1">
        <f>Líderes!B39</f>
        <v>0</v>
      </c>
      <c r="O40" s="42"/>
    </row>
    <row r="41" spans="2:15" ht="30" customHeight="1" thickTop="1" thickBot="1" x14ac:dyDescent="0.4">
      <c r="B41" s="20"/>
      <c r="C41" s="33"/>
      <c r="D41" s="63" t="str">
        <f>IF(ISERROR(VLOOKUP(C41,Matriz!$I$5:$J$24,2,FALSE)),"",VLOOKUP(C41,Matriz!$I$5:$J$24,2,FALSE))</f>
        <v/>
      </c>
      <c r="E41" s="36"/>
      <c r="F41" s="64" t="str">
        <f>IF(E41=0,"",VLOOKUP(E41,Líderes!$B$4:$C$53,2,FALSE))</f>
        <v/>
      </c>
      <c r="G41" s="18"/>
      <c r="H41" s="19"/>
      <c r="I41" s="40"/>
      <c r="J41" s="65"/>
      <c r="L41" s="1">
        <f>Líderes!B40</f>
        <v>0</v>
      </c>
      <c r="O41" s="42"/>
    </row>
    <row r="42" spans="2:15" ht="30" customHeight="1" thickTop="1" thickBot="1" x14ac:dyDescent="0.4">
      <c r="B42" s="20"/>
      <c r="C42" s="33"/>
      <c r="D42" s="63" t="str">
        <f>IF(ISERROR(VLOOKUP(C42,Matriz!$I$5:$J$24,2,FALSE)),"",VLOOKUP(C42,Matriz!$I$5:$J$24,2,FALSE))</f>
        <v/>
      </c>
      <c r="E42" s="36"/>
      <c r="F42" s="64" t="str">
        <f>IF(E42=0,"",VLOOKUP(E42,Líderes!$B$4:$C$53,2,FALSE))</f>
        <v/>
      </c>
      <c r="G42" s="18"/>
      <c r="H42" s="19"/>
      <c r="I42" s="40"/>
      <c r="J42" s="65"/>
      <c r="L42" s="1">
        <f>Líderes!B41</f>
        <v>0</v>
      </c>
      <c r="O42" s="42"/>
    </row>
    <row r="43" spans="2:15" ht="30" customHeight="1" thickTop="1" thickBot="1" x14ac:dyDescent="0.4">
      <c r="B43" s="20"/>
      <c r="C43" s="33"/>
      <c r="D43" s="63" t="str">
        <f>IF(ISERROR(VLOOKUP(C43,Matriz!$I$5:$J$24,2,FALSE)),"",VLOOKUP(C43,Matriz!$I$5:$J$24,2,FALSE))</f>
        <v/>
      </c>
      <c r="E43" s="36"/>
      <c r="F43" s="64" t="str">
        <f>IF(E43=0,"",VLOOKUP(E43,Líderes!$B$4:$C$53,2,FALSE))</f>
        <v/>
      </c>
      <c r="G43" s="18"/>
      <c r="H43" s="19"/>
      <c r="I43" s="40"/>
      <c r="J43" s="65"/>
      <c r="L43" s="1">
        <f>Líderes!B42</f>
        <v>0</v>
      </c>
      <c r="O43" s="42"/>
    </row>
    <row r="44" spans="2:15" ht="30" customHeight="1" thickTop="1" thickBot="1" x14ac:dyDescent="0.4">
      <c r="B44" s="20"/>
      <c r="C44" s="33"/>
      <c r="D44" s="63" t="str">
        <f>IF(ISERROR(VLOOKUP(C44,Matriz!$I$5:$J$24,2,FALSE)),"",VLOOKUP(C44,Matriz!$I$5:$J$24,2,FALSE))</f>
        <v/>
      </c>
      <c r="E44" s="36"/>
      <c r="F44" s="64" t="str">
        <f>IF(E44=0,"",VLOOKUP(E44,Líderes!$B$4:$C$53,2,FALSE))</f>
        <v/>
      </c>
      <c r="G44" s="18"/>
      <c r="H44" s="19"/>
      <c r="I44" s="40"/>
      <c r="J44" s="65"/>
      <c r="L44" s="1">
        <f>Líderes!B43</f>
        <v>0</v>
      </c>
      <c r="O44" s="42"/>
    </row>
    <row r="45" spans="2:15" ht="30" customHeight="1" thickTop="1" thickBot="1" x14ac:dyDescent="0.4">
      <c r="B45" s="20"/>
      <c r="C45" s="33"/>
      <c r="D45" s="63" t="str">
        <f>IF(ISERROR(VLOOKUP(C45,Matriz!$I$5:$J$24,2,FALSE)),"",VLOOKUP(C45,Matriz!$I$5:$J$24,2,FALSE))</f>
        <v/>
      </c>
      <c r="E45" s="36"/>
      <c r="F45" s="64" t="str">
        <f>IF(E45=0,"",VLOOKUP(E45,Líderes!$B$4:$C$53,2,FALSE))</f>
        <v/>
      </c>
      <c r="G45" s="18"/>
      <c r="H45" s="19"/>
      <c r="I45" s="40"/>
      <c r="J45" s="65"/>
      <c r="L45" s="1">
        <f>Líderes!B44</f>
        <v>0</v>
      </c>
      <c r="O45" s="42"/>
    </row>
    <row r="46" spans="2:15" ht="30" customHeight="1" thickTop="1" thickBot="1" x14ac:dyDescent="0.4">
      <c r="B46" s="20"/>
      <c r="C46" s="33"/>
      <c r="D46" s="63" t="str">
        <f>IF(ISERROR(VLOOKUP(C46,Matriz!$I$5:$J$24,2,FALSE)),"",VLOOKUP(C46,Matriz!$I$5:$J$24,2,FALSE))</f>
        <v/>
      </c>
      <c r="E46" s="36"/>
      <c r="F46" s="64" t="str">
        <f>IF(E46=0,"",VLOOKUP(E46,Líderes!$B$4:$C$53,2,FALSE))</f>
        <v/>
      </c>
      <c r="G46" s="18"/>
      <c r="H46" s="19"/>
      <c r="I46" s="40"/>
      <c r="J46" s="65"/>
      <c r="L46" s="1">
        <f>Líderes!B45</f>
        <v>0</v>
      </c>
      <c r="O46" s="42"/>
    </row>
    <row r="47" spans="2:15" ht="30" customHeight="1" thickTop="1" thickBot="1" x14ac:dyDescent="0.4">
      <c r="B47" s="20"/>
      <c r="C47" s="33"/>
      <c r="D47" s="63" t="str">
        <f>IF(ISERROR(VLOOKUP(C47,Matriz!$I$5:$J$24,2,FALSE)),"",VLOOKUP(C47,Matriz!$I$5:$J$24,2,FALSE))</f>
        <v/>
      </c>
      <c r="E47" s="36"/>
      <c r="F47" s="64" t="str">
        <f>IF(E47=0,"",VLOOKUP(E47,Líderes!$B$4:$C$53,2,FALSE))</f>
        <v/>
      </c>
      <c r="G47" s="18"/>
      <c r="H47" s="19"/>
      <c r="I47" s="40"/>
      <c r="J47" s="65"/>
      <c r="L47" s="1">
        <f>Líderes!B46</f>
        <v>0</v>
      </c>
      <c r="O47" s="42"/>
    </row>
    <row r="48" spans="2:15" ht="30" customHeight="1" thickTop="1" thickBot="1" x14ac:dyDescent="0.4">
      <c r="B48" s="20"/>
      <c r="C48" s="33"/>
      <c r="D48" s="63" t="str">
        <f>IF(ISERROR(VLOOKUP(C48,Matriz!$I$5:$J$24,2,FALSE)),"",VLOOKUP(C48,Matriz!$I$5:$J$24,2,FALSE))</f>
        <v/>
      </c>
      <c r="E48" s="36"/>
      <c r="F48" s="64" t="str">
        <f>IF(E48=0,"",VLOOKUP(E48,Líderes!$B$4:$C$53,2,FALSE))</f>
        <v/>
      </c>
      <c r="G48" s="18"/>
      <c r="H48" s="19"/>
      <c r="I48" s="40"/>
      <c r="J48" s="65"/>
      <c r="L48" s="1">
        <f>Líderes!B47</f>
        <v>0</v>
      </c>
      <c r="O48" s="42"/>
    </row>
    <row r="49" spans="2:15" ht="30" customHeight="1" thickTop="1" thickBot="1" x14ac:dyDescent="0.4">
      <c r="B49" s="20"/>
      <c r="C49" s="33"/>
      <c r="D49" s="63" t="str">
        <f>IF(ISERROR(VLOOKUP(C49,Matriz!$I$5:$J$24,2,FALSE)),"",VLOOKUP(C49,Matriz!$I$5:$J$24,2,FALSE))</f>
        <v/>
      </c>
      <c r="E49" s="36"/>
      <c r="F49" s="64" t="str">
        <f>IF(E49=0,"",VLOOKUP(E49,Líderes!$B$4:$C$53,2,FALSE))</f>
        <v/>
      </c>
      <c r="G49" s="18"/>
      <c r="H49" s="19"/>
      <c r="I49" s="40"/>
      <c r="J49" s="65"/>
      <c r="L49" s="1">
        <f>Líderes!B48</f>
        <v>0</v>
      </c>
      <c r="O49" s="42"/>
    </row>
    <row r="50" spans="2:15" ht="30" customHeight="1" thickTop="1" thickBot="1" x14ac:dyDescent="0.4">
      <c r="B50" s="20"/>
      <c r="C50" s="33"/>
      <c r="D50" s="63" t="str">
        <f>IF(ISERROR(VLOOKUP(C50,Matriz!$I$5:$J$24,2,FALSE)),"",VLOOKUP(C50,Matriz!$I$5:$J$24,2,FALSE))</f>
        <v/>
      </c>
      <c r="E50" s="36"/>
      <c r="F50" s="64" t="str">
        <f>IF(E50=0,"",VLOOKUP(E50,Líderes!$B$4:$C$53,2,FALSE))</f>
        <v/>
      </c>
      <c r="G50" s="18"/>
      <c r="H50" s="19"/>
      <c r="I50" s="40"/>
      <c r="J50" s="65"/>
      <c r="L50" s="1">
        <f>Líderes!B49</f>
        <v>0</v>
      </c>
      <c r="O50" s="42"/>
    </row>
    <row r="51" spans="2:15" ht="30" customHeight="1" thickTop="1" thickBot="1" x14ac:dyDescent="0.4">
      <c r="B51" s="20"/>
      <c r="C51" s="33"/>
      <c r="D51" s="63" t="str">
        <f>IF(ISERROR(VLOOKUP(C51,Matriz!$I$5:$J$24,2,FALSE)),"",VLOOKUP(C51,Matriz!$I$5:$J$24,2,FALSE))</f>
        <v/>
      </c>
      <c r="E51" s="36"/>
      <c r="F51" s="64" t="str">
        <f>IF(E51=0,"",VLOOKUP(E51,Líderes!$B$4:$C$53,2,FALSE))</f>
        <v/>
      </c>
      <c r="G51" s="18"/>
      <c r="H51" s="19"/>
      <c r="I51" s="40"/>
      <c r="J51" s="65"/>
      <c r="L51" s="1">
        <f>Líderes!B50</f>
        <v>0</v>
      </c>
      <c r="O51" s="42"/>
    </row>
    <row r="52" spans="2:15" ht="30" customHeight="1" thickTop="1" thickBot="1" x14ac:dyDescent="0.4">
      <c r="B52" s="20"/>
      <c r="C52" s="33"/>
      <c r="D52" s="63" t="str">
        <f>IF(ISERROR(VLOOKUP(C52,Matriz!$I$5:$J$24,2,FALSE)),"",VLOOKUP(C52,Matriz!$I$5:$J$24,2,FALSE))</f>
        <v/>
      </c>
      <c r="E52" s="36"/>
      <c r="F52" s="64" t="str">
        <f>IF(E52=0,"",VLOOKUP(E52,Líderes!$B$4:$C$53,2,FALSE))</f>
        <v/>
      </c>
      <c r="G52" s="18"/>
      <c r="H52" s="19"/>
      <c r="I52" s="40"/>
      <c r="J52" s="65"/>
      <c r="L52" s="1">
        <f>Líderes!B51</f>
        <v>0</v>
      </c>
      <c r="O52" s="42"/>
    </row>
    <row r="53" spans="2:15" ht="30" customHeight="1" thickTop="1" thickBot="1" x14ac:dyDescent="0.4">
      <c r="B53" s="20"/>
      <c r="C53" s="33"/>
      <c r="D53" s="63" t="str">
        <f>IF(ISERROR(VLOOKUP(C53,Matriz!$I$5:$J$24,2,FALSE)),"",VLOOKUP(C53,Matriz!$I$5:$J$24,2,FALSE))</f>
        <v/>
      </c>
      <c r="E53" s="36"/>
      <c r="F53" s="64" t="str">
        <f>IF(E53=0,"",VLOOKUP(E53,Líderes!$B$4:$C$53,2,FALSE))</f>
        <v/>
      </c>
      <c r="G53" s="18"/>
      <c r="H53" s="19"/>
      <c r="I53" s="40"/>
      <c r="J53" s="65"/>
      <c r="L53" s="1">
        <f>Líderes!B52</f>
        <v>0</v>
      </c>
      <c r="O53" s="42"/>
    </row>
    <row r="54" spans="2:15" ht="30" customHeight="1" thickTop="1" thickBot="1" x14ac:dyDescent="0.4">
      <c r="B54" s="20"/>
      <c r="C54" s="33"/>
      <c r="D54" s="63" t="str">
        <f>IF(ISERROR(VLOOKUP(C54,Matriz!$I$5:$J$24,2,FALSE)),"",VLOOKUP(C54,Matriz!$I$5:$J$24,2,FALSE))</f>
        <v/>
      </c>
      <c r="E54" s="36"/>
      <c r="F54" s="64" t="str">
        <f>IF(E54=0,"",VLOOKUP(E54,Líderes!$B$4:$C$53,2,FALSE))</f>
        <v/>
      </c>
      <c r="G54" s="18"/>
      <c r="H54" s="19"/>
      <c r="I54" s="40"/>
      <c r="J54" s="65"/>
      <c r="O54" s="42"/>
    </row>
    <row r="55" spans="2:15" ht="30" customHeight="1" thickTop="1" thickBot="1" x14ac:dyDescent="0.4">
      <c r="B55" s="20"/>
      <c r="C55" s="33"/>
      <c r="D55" s="63" t="str">
        <f>IF(ISERROR(VLOOKUP(C55,Matriz!$I$5:$J$24,2,FALSE)),"",VLOOKUP(C55,Matriz!$I$5:$J$24,2,FALSE))</f>
        <v/>
      </c>
      <c r="E55" s="36"/>
      <c r="F55" s="64" t="str">
        <f>IF(E55=0,"",VLOOKUP(E55,Líderes!$B$4:$C$53,2,FALSE))</f>
        <v/>
      </c>
      <c r="G55" s="18"/>
      <c r="H55" s="19"/>
      <c r="I55" s="40"/>
      <c r="J55" s="65"/>
      <c r="O55" s="42"/>
    </row>
    <row r="56" spans="2:15" ht="30" customHeight="1" thickTop="1" thickBot="1" x14ac:dyDescent="0.4">
      <c r="B56" s="20"/>
      <c r="C56" s="33"/>
      <c r="D56" s="63" t="str">
        <f>IF(ISERROR(VLOOKUP(C56,Matriz!$I$5:$J$24,2,FALSE)),"",VLOOKUP(C56,Matriz!$I$5:$J$24,2,FALSE))</f>
        <v/>
      </c>
      <c r="E56" s="36"/>
      <c r="F56" s="64" t="str">
        <f>IF(E56=0,"",VLOOKUP(E56,Líderes!$B$4:$C$53,2,FALSE))</f>
        <v/>
      </c>
      <c r="G56" s="18"/>
      <c r="H56" s="19"/>
      <c r="I56" s="40"/>
      <c r="J56" s="65"/>
      <c r="O56" s="42"/>
    </row>
    <row r="57" spans="2:15" ht="30" customHeight="1" thickTop="1" thickBot="1" x14ac:dyDescent="0.4">
      <c r="B57" s="20"/>
      <c r="C57" s="33"/>
      <c r="D57" s="63" t="str">
        <f>IF(ISERROR(VLOOKUP(C57,Matriz!$I$5:$J$24,2,FALSE)),"",VLOOKUP(C57,Matriz!$I$5:$J$24,2,FALSE))</f>
        <v/>
      </c>
      <c r="E57" s="36"/>
      <c r="F57" s="64" t="str">
        <f>IF(E57=0,"",VLOOKUP(E57,Líderes!$B$4:$C$53,2,FALSE))</f>
        <v/>
      </c>
      <c r="G57" s="18"/>
      <c r="H57" s="19"/>
      <c r="I57" s="40"/>
      <c r="J57" s="65"/>
      <c r="O57" s="42"/>
    </row>
    <row r="58" spans="2:15" ht="30" customHeight="1" thickTop="1" thickBot="1" x14ac:dyDescent="0.4">
      <c r="B58" s="20"/>
      <c r="C58" s="33"/>
      <c r="D58" s="63" t="str">
        <f>IF(ISERROR(VLOOKUP(C58,Matriz!$I$5:$J$24,2,FALSE)),"",VLOOKUP(C58,Matriz!$I$5:$J$24,2,FALSE))</f>
        <v/>
      </c>
      <c r="E58" s="36"/>
      <c r="F58" s="64" t="str">
        <f>IF(E58=0,"",VLOOKUP(E58,Líderes!$B$4:$C$53,2,FALSE))</f>
        <v/>
      </c>
      <c r="G58" s="18"/>
      <c r="H58" s="19"/>
      <c r="I58" s="40"/>
      <c r="J58" s="65"/>
      <c r="O58" s="42"/>
    </row>
    <row r="59" spans="2:15" ht="30" customHeight="1" thickTop="1" thickBot="1" x14ac:dyDescent="0.4">
      <c r="B59" s="20"/>
      <c r="C59" s="33"/>
      <c r="D59" s="63" t="str">
        <f>IF(ISERROR(VLOOKUP(C59,Matriz!$I$5:$J$24,2,FALSE)),"",VLOOKUP(C59,Matriz!$I$5:$J$24,2,FALSE))</f>
        <v/>
      </c>
      <c r="E59" s="36"/>
      <c r="F59" s="64" t="str">
        <f>IF(E59=0,"",VLOOKUP(E59,Líderes!$B$4:$C$53,2,FALSE))</f>
        <v/>
      </c>
      <c r="G59" s="18"/>
      <c r="H59" s="19"/>
      <c r="I59" s="40"/>
      <c r="J59" s="65"/>
      <c r="O59" s="42"/>
    </row>
    <row r="60" spans="2:15" ht="30" customHeight="1" thickTop="1" thickBot="1" x14ac:dyDescent="0.4">
      <c r="B60" s="20"/>
      <c r="C60" s="33"/>
      <c r="D60" s="63" t="str">
        <f>IF(ISERROR(VLOOKUP(C60,Matriz!$I$5:$J$24,2,FALSE)),"",VLOOKUP(C60,Matriz!$I$5:$J$24,2,FALSE))</f>
        <v/>
      </c>
      <c r="E60" s="36"/>
      <c r="F60" s="64" t="str">
        <f>IF(E60=0,"",VLOOKUP(E60,Líderes!$B$4:$C$53,2,FALSE))</f>
        <v/>
      </c>
      <c r="G60" s="18"/>
      <c r="H60" s="19"/>
      <c r="I60" s="40"/>
      <c r="J60" s="65"/>
      <c r="O60" s="42"/>
    </row>
    <row r="61" spans="2:15" ht="30" customHeight="1" thickTop="1" thickBot="1" x14ac:dyDescent="0.4">
      <c r="B61" s="20"/>
      <c r="C61" s="33"/>
      <c r="D61" s="63" t="str">
        <f>IF(ISERROR(VLOOKUP(C61,Matriz!$I$5:$J$24,2,FALSE)),"",VLOOKUP(C61,Matriz!$I$5:$J$24,2,FALSE))</f>
        <v/>
      </c>
      <c r="E61" s="36"/>
      <c r="F61" s="64" t="str">
        <f>IF(E61=0,"",VLOOKUP(E61,Líderes!$B$4:$C$53,2,FALSE))</f>
        <v/>
      </c>
      <c r="G61" s="18"/>
      <c r="H61" s="19"/>
      <c r="I61" s="40"/>
      <c r="J61" s="65"/>
      <c r="O61" s="42"/>
    </row>
    <row r="62" spans="2:15" ht="30" customHeight="1" thickTop="1" thickBot="1" x14ac:dyDescent="0.4">
      <c r="B62" s="20"/>
      <c r="C62" s="33"/>
      <c r="D62" s="63" t="str">
        <f>IF(ISERROR(VLOOKUP(C62,Matriz!$I$5:$J$24,2,FALSE)),"",VLOOKUP(C62,Matriz!$I$5:$J$24,2,FALSE))</f>
        <v/>
      </c>
      <c r="E62" s="36"/>
      <c r="F62" s="64" t="str">
        <f>IF(E62=0,"",VLOOKUP(E62,Líderes!$B$4:$C$53,2,FALSE))</f>
        <v/>
      </c>
      <c r="G62" s="18"/>
      <c r="H62" s="19"/>
      <c r="I62" s="40"/>
      <c r="J62" s="65"/>
      <c r="O62" s="42"/>
    </row>
    <row r="63" spans="2:15" ht="30" customHeight="1" thickTop="1" thickBot="1" x14ac:dyDescent="0.4">
      <c r="B63" s="20"/>
      <c r="C63" s="33"/>
      <c r="D63" s="63" t="str">
        <f>IF(ISERROR(VLOOKUP(C63,Matriz!$I$5:$J$24,2,FALSE)),"",VLOOKUP(C63,Matriz!$I$5:$J$24,2,FALSE))</f>
        <v/>
      </c>
      <c r="E63" s="36"/>
      <c r="F63" s="64" t="str">
        <f>IF(E63=0,"",VLOOKUP(E63,Líderes!$B$4:$C$53,2,FALSE))</f>
        <v/>
      </c>
      <c r="G63" s="18"/>
      <c r="H63" s="19"/>
      <c r="I63" s="40"/>
      <c r="J63" s="65"/>
      <c r="O63" s="42"/>
    </row>
    <row r="64" spans="2:15" ht="30" customHeight="1" thickTop="1" thickBot="1" x14ac:dyDescent="0.4">
      <c r="B64" s="20"/>
      <c r="C64" s="33"/>
      <c r="D64" s="63" t="str">
        <f>IF(ISERROR(VLOOKUP(C64,Matriz!$I$5:$J$24,2,FALSE)),"",VLOOKUP(C64,Matriz!$I$5:$J$24,2,FALSE))</f>
        <v/>
      </c>
      <c r="E64" s="36"/>
      <c r="F64" s="64" t="str">
        <f>IF(E64=0,"",VLOOKUP(E64,Líderes!$B$4:$C$53,2,FALSE))</f>
        <v/>
      </c>
      <c r="G64" s="18"/>
      <c r="H64" s="19"/>
      <c r="I64" s="40"/>
      <c r="J64" s="65"/>
      <c r="O64" s="42"/>
    </row>
    <row r="65" spans="2:15" ht="30" customHeight="1" thickTop="1" thickBot="1" x14ac:dyDescent="0.4">
      <c r="B65" s="20"/>
      <c r="C65" s="33"/>
      <c r="D65" s="63" t="str">
        <f>IF(ISERROR(VLOOKUP(C65,Matriz!$I$5:$J$24,2,FALSE)),"",VLOOKUP(C65,Matriz!$I$5:$J$24,2,FALSE))</f>
        <v/>
      </c>
      <c r="E65" s="36"/>
      <c r="F65" s="64" t="str">
        <f>IF(E65=0,"",VLOOKUP(E65,Líderes!$B$4:$C$53,2,FALSE))</f>
        <v/>
      </c>
      <c r="G65" s="18"/>
      <c r="H65" s="19"/>
      <c r="I65" s="40"/>
      <c r="J65" s="65"/>
      <c r="O65" s="42"/>
    </row>
    <row r="66" spans="2:15" ht="30" customHeight="1" thickTop="1" thickBot="1" x14ac:dyDescent="0.4">
      <c r="B66" s="20"/>
      <c r="C66" s="33"/>
      <c r="D66" s="63" t="str">
        <f>IF(ISERROR(VLOOKUP(C66,Matriz!$I$5:$J$24,2,FALSE)),"",VLOOKUP(C66,Matriz!$I$5:$J$24,2,FALSE))</f>
        <v/>
      </c>
      <c r="E66" s="36"/>
      <c r="F66" s="64" t="str">
        <f>IF(E66=0,"",VLOOKUP(E66,Líderes!$B$4:$C$53,2,FALSE))</f>
        <v/>
      </c>
      <c r="G66" s="18"/>
      <c r="H66" s="19"/>
      <c r="I66" s="40"/>
      <c r="J66" s="65"/>
      <c r="O66" s="42"/>
    </row>
    <row r="67" spans="2:15" ht="30" customHeight="1" thickTop="1" thickBot="1" x14ac:dyDescent="0.4">
      <c r="B67" s="20"/>
      <c r="C67" s="33"/>
      <c r="D67" s="63" t="str">
        <f>IF(ISERROR(VLOOKUP(C67,Matriz!$I$5:$J$24,2,FALSE)),"",VLOOKUP(C67,Matriz!$I$5:$J$24,2,FALSE))</f>
        <v/>
      </c>
      <c r="E67" s="36"/>
      <c r="F67" s="64" t="str">
        <f>IF(E67=0,"",VLOOKUP(E67,Líderes!$B$4:$C$53,2,FALSE))</f>
        <v/>
      </c>
      <c r="G67" s="18"/>
      <c r="H67" s="19"/>
      <c r="I67" s="40"/>
      <c r="J67" s="65"/>
      <c r="O67" s="42"/>
    </row>
    <row r="68" spans="2:15" ht="30" customHeight="1" thickTop="1" thickBot="1" x14ac:dyDescent="0.4">
      <c r="B68" s="20"/>
      <c r="C68" s="33"/>
      <c r="D68" s="63" t="str">
        <f>IF(ISERROR(VLOOKUP(C68,Matriz!$I$5:$J$24,2,FALSE)),"",VLOOKUP(C68,Matriz!$I$5:$J$24,2,FALSE))</f>
        <v/>
      </c>
      <c r="E68" s="36"/>
      <c r="F68" s="64" t="str">
        <f>IF(E68=0,"",VLOOKUP(E68,Líderes!$B$4:$C$53,2,FALSE))</f>
        <v/>
      </c>
      <c r="G68" s="18"/>
      <c r="H68" s="19"/>
      <c r="I68" s="40"/>
      <c r="J68" s="65"/>
      <c r="O68" s="42"/>
    </row>
    <row r="69" spans="2:15" ht="30" customHeight="1" thickTop="1" thickBot="1" x14ac:dyDescent="0.4">
      <c r="B69" s="20"/>
      <c r="C69" s="33"/>
      <c r="D69" s="63" t="str">
        <f>IF(ISERROR(VLOOKUP(C69,Matriz!$I$5:$J$24,2,FALSE)),"",VLOOKUP(C69,Matriz!$I$5:$J$24,2,FALSE))</f>
        <v/>
      </c>
      <c r="E69" s="36"/>
      <c r="F69" s="64" t="str">
        <f>IF(E69=0,"",VLOOKUP(E69,Líderes!$B$4:$C$53,2,FALSE))</f>
        <v/>
      </c>
      <c r="G69" s="18"/>
      <c r="H69" s="19"/>
      <c r="I69" s="40"/>
      <c r="J69" s="65"/>
      <c r="O69" s="42"/>
    </row>
    <row r="70" spans="2:15" ht="30" customHeight="1" thickTop="1" thickBot="1" x14ac:dyDescent="0.4">
      <c r="B70" s="20"/>
      <c r="C70" s="33"/>
      <c r="D70" s="63" t="str">
        <f>IF(ISERROR(VLOOKUP(C70,Matriz!$I$5:$J$24,2,FALSE)),"",VLOOKUP(C70,Matriz!$I$5:$J$24,2,FALSE))</f>
        <v/>
      </c>
      <c r="E70" s="36"/>
      <c r="F70" s="64" t="str">
        <f>IF(E70=0,"",VLOOKUP(E70,Líderes!$B$4:$C$53,2,FALSE))</f>
        <v/>
      </c>
      <c r="G70" s="18"/>
      <c r="H70" s="19"/>
      <c r="I70" s="40"/>
      <c r="J70" s="65"/>
      <c r="O70" s="42"/>
    </row>
    <row r="71" spans="2:15" ht="30" customHeight="1" thickTop="1" thickBot="1" x14ac:dyDescent="0.4">
      <c r="B71" s="20"/>
      <c r="C71" s="33"/>
      <c r="D71" s="63" t="str">
        <f>IF(ISERROR(VLOOKUP(C71,Matriz!$I$5:$J$24,2,FALSE)),"",VLOOKUP(C71,Matriz!$I$5:$J$24,2,FALSE))</f>
        <v/>
      </c>
      <c r="E71" s="36"/>
      <c r="F71" s="64" t="str">
        <f>IF(E71=0,"",VLOOKUP(E71,Líderes!$B$4:$C$53,2,FALSE))</f>
        <v/>
      </c>
      <c r="G71" s="18"/>
      <c r="H71" s="19"/>
      <c r="I71" s="40"/>
      <c r="J71" s="65"/>
      <c r="O71" s="42"/>
    </row>
    <row r="72" spans="2:15" ht="30" customHeight="1" thickTop="1" thickBot="1" x14ac:dyDescent="0.4">
      <c r="B72" s="20"/>
      <c r="C72" s="33"/>
      <c r="D72" s="63" t="str">
        <f>IF(ISERROR(VLOOKUP(C72,Matriz!$I$5:$J$24,2,FALSE)),"",VLOOKUP(C72,Matriz!$I$5:$J$24,2,FALSE))</f>
        <v/>
      </c>
      <c r="E72" s="36"/>
      <c r="F72" s="64" t="str">
        <f>IF(E72=0,"",VLOOKUP(E72,Líderes!$B$4:$C$53,2,FALSE))</f>
        <v/>
      </c>
      <c r="G72" s="18"/>
      <c r="H72" s="19"/>
      <c r="I72" s="40"/>
      <c r="J72" s="65"/>
      <c r="O72" s="42"/>
    </row>
    <row r="73" spans="2:15" ht="30" customHeight="1" thickTop="1" thickBot="1" x14ac:dyDescent="0.4">
      <c r="B73" s="20"/>
      <c r="C73" s="33"/>
      <c r="D73" s="63" t="str">
        <f>IF(ISERROR(VLOOKUP(C73,Matriz!$I$5:$J$24,2,FALSE)),"",VLOOKUP(C73,Matriz!$I$5:$J$24,2,FALSE))</f>
        <v/>
      </c>
      <c r="E73" s="36"/>
      <c r="F73" s="64" t="str">
        <f>IF(E73=0,"",VLOOKUP(E73,Líderes!$B$4:$C$53,2,FALSE))</f>
        <v/>
      </c>
      <c r="G73" s="18"/>
      <c r="H73" s="19"/>
      <c r="I73" s="40"/>
      <c r="J73" s="65"/>
      <c r="O73" s="42"/>
    </row>
    <row r="74" spans="2:15" ht="30" customHeight="1" thickTop="1" thickBot="1" x14ac:dyDescent="0.4">
      <c r="B74" s="20"/>
      <c r="C74" s="33"/>
      <c r="D74" s="63" t="str">
        <f>IF(ISERROR(VLOOKUP(C74,Matriz!$I$5:$J$24,2,FALSE)),"",VLOOKUP(C74,Matriz!$I$5:$J$24,2,FALSE))</f>
        <v/>
      </c>
      <c r="E74" s="36"/>
      <c r="F74" s="64" t="str">
        <f>IF(E74=0,"",VLOOKUP(E74,Líderes!$B$4:$C$53,2,FALSE))</f>
        <v/>
      </c>
      <c r="G74" s="18"/>
      <c r="H74" s="19"/>
      <c r="I74" s="40"/>
      <c r="J74" s="65"/>
      <c r="O74" s="42"/>
    </row>
    <row r="75" spans="2:15" ht="30" customHeight="1" thickTop="1" thickBot="1" x14ac:dyDescent="0.4">
      <c r="B75" s="20"/>
      <c r="C75" s="33"/>
      <c r="D75" s="63" t="str">
        <f>IF(ISERROR(VLOOKUP(C75,Matriz!$I$5:$J$24,2,FALSE)),"",VLOOKUP(C75,Matriz!$I$5:$J$24,2,FALSE))</f>
        <v/>
      </c>
      <c r="E75" s="36"/>
      <c r="F75" s="64" t="str">
        <f>IF(E75=0,"",VLOOKUP(E75,Líderes!$B$4:$C$53,2,FALSE))</f>
        <v/>
      </c>
      <c r="G75" s="18"/>
      <c r="H75" s="19"/>
      <c r="I75" s="40"/>
      <c r="J75" s="65"/>
      <c r="O75" s="42"/>
    </row>
    <row r="76" spans="2:15" ht="30" customHeight="1" thickTop="1" thickBot="1" x14ac:dyDescent="0.4">
      <c r="B76" s="20"/>
      <c r="C76" s="33"/>
      <c r="D76" s="63" t="str">
        <f>IF(ISERROR(VLOOKUP(C76,Matriz!$I$5:$J$24,2,FALSE)),"",VLOOKUP(C76,Matriz!$I$5:$J$24,2,FALSE))</f>
        <v/>
      </c>
      <c r="E76" s="36"/>
      <c r="F76" s="64" t="str">
        <f>IF(E76=0,"",VLOOKUP(E76,Líderes!$B$4:$C$53,2,FALSE))</f>
        <v/>
      </c>
      <c r="G76" s="18"/>
      <c r="H76" s="19"/>
      <c r="I76" s="40"/>
      <c r="J76" s="65"/>
      <c r="O76" s="42"/>
    </row>
    <row r="77" spans="2:15" ht="30" customHeight="1" thickTop="1" thickBot="1" x14ac:dyDescent="0.4">
      <c r="B77" s="20"/>
      <c r="C77" s="33"/>
      <c r="D77" s="63" t="str">
        <f>IF(ISERROR(VLOOKUP(C77,Matriz!$I$5:$J$24,2,FALSE)),"",VLOOKUP(C77,Matriz!$I$5:$J$24,2,FALSE))</f>
        <v/>
      </c>
      <c r="E77" s="36"/>
      <c r="F77" s="64" t="str">
        <f>IF(E77=0,"",VLOOKUP(E77,Líderes!$B$4:$C$53,2,FALSE))</f>
        <v/>
      </c>
      <c r="G77" s="18"/>
      <c r="H77" s="19"/>
      <c r="I77" s="40"/>
      <c r="J77" s="65"/>
      <c r="O77" s="42"/>
    </row>
    <row r="78" spans="2:15" ht="30" customHeight="1" thickTop="1" thickBot="1" x14ac:dyDescent="0.4">
      <c r="B78" s="20"/>
      <c r="C78" s="33"/>
      <c r="D78" s="63" t="str">
        <f>IF(ISERROR(VLOOKUP(C78,Matriz!$I$5:$J$24,2,FALSE)),"",VLOOKUP(C78,Matriz!$I$5:$J$24,2,FALSE))</f>
        <v/>
      </c>
      <c r="E78" s="36"/>
      <c r="F78" s="64" t="str">
        <f>IF(E78=0,"",VLOOKUP(E78,Líderes!$B$4:$C$53,2,FALSE))</f>
        <v/>
      </c>
      <c r="G78" s="18"/>
      <c r="H78" s="19"/>
      <c r="I78" s="40"/>
      <c r="J78" s="65"/>
      <c r="O78" s="42"/>
    </row>
    <row r="79" spans="2:15" ht="30" customHeight="1" thickTop="1" thickBot="1" x14ac:dyDescent="0.4">
      <c r="B79" s="20"/>
      <c r="C79" s="33"/>
      <c r="D79" s="63" t="str">
        <f>IF(ISERROR(VLOOKUP(C79,Matriz!$I$5:$J$24,2,FALSE)),"",VLOOKUP(C79,Matriz!$I$5:$J$24,2,FALSE))</f>
        <v/>
      </c>
      <c r="E79" s="36"/>
      <c r="F79" s="64" t="str">
        <f>IF(E79=0,"",VLOOKUP(E79,Líderes!$B$4:$C$53,2,FALSE))</f>
        <v/>
      </c>
      <c r="G79" s="18"/>
      <c r="H79" s="19"/>
      <c r="I79" s="40"/>
      <c r="J79" s="65"/>
      <c r="O79" s="42"/>
    </row>
    <row r="80" spans="2:15" ht="30" customHeight="1" thickTop="1" thickBot="1" x14ac:dyDescent="0.4">
      <c r="B80" s="20"/>
      <c r="C80" s="33"/>
      <c r="D80" s="63" t="str">
        <f>IF(ISERROR(VLOOKUP(C80,Matriz!$I$5:$J$24,2,FALSE)),"",VLOOKUP(C80,Matriz!$I$5:$J$24,2,FALSE))</f>
        <v/>
      </c>
      <c r="E80" s="36"/>
      <c r="F80" s="64" t="str">
        <f>IF(E80=0,"",VLOOKUP(E80,Líderes!$B$4:$C$53,2,FALSE))</f>
        <v/>
      </c>
      <c r="G80" s="18"/>
      <c r="H80" s="19"/>
      <c r="I80" s="40"/>
      <c r="J80" s="65"/>
      <c r="O80" s="42"/>
    </row>
    <row r="81" spans="2:15" ht="30" customHeight="1" thickTop="1" thickBot="1" x14ac:dyDescent="0.4">
      <c r="B81" s="20"/>
      <c r="C81" s="33"/>
      <c r="D81" s="63" t="str">
        <f>IF(ISERROR(VLOOKUP(C81,Matriz!$I$5:$J$24,2,FALSE)),"",VLOOKUP(C81,Matriz!$I$5:$J$24,2,FALSE))</f>
        <v/>
      </c>
      <c r="E81" s="36"/>
      <c r="F81" s="64" t="str">
        <f>IF(E81=0,"",VLOOKUP(E81,Líderes!$B$4:$C$53,2,FALSE))</f>
        <v/>
      </c>
      <c r="G81" s="18"/>
      <c r="H81" s="19"/>
      <c r="I81" s="40"/>
      <c r="J81" s="65"/>
      <c r="O81" s="42"/>
    </row>
    <row r="82" spans="2:15" ht="30" customHeight="1" thickTop="1" thickBot="1" x14ac:dyDescent="0.4">
      <c r="B82" s="20"/>
      <c r="C82" s="33"/>
      <c r="D82" s="63" t="str">
        <f>IF(ISERROR(VLOOKUP(C82,Matriz!$I$5:$J$24,2,FALSE)),"",VLOOKUP(C82,Matriz!$I$5:$J$24,2,FALSE))</f>
        <v/>
      </c>
      <c r="E82" s="36"/>
      <c r="F82" s="64" t="str">
        <f>IF(E82=0,"",VLOOKUP(E82,Líderes!$B$4:$C$53,2,FALSE))</f>
        <v/>
      </c>
      <c r="G82" s="18"/>
      <c r="H82" s="19"/>
      <c r="I82" s="40"/>
      <c r="J82" s="65"/>
      <c r="O82" s="42"/>
    </row>
    <row r="83" spans="2:15" ht="30" customHeight="1" thickTop="1" thickBot="1" x14ac:dyDescent="0.4">
      <c r="B83" s="20"/>
      <c r="C83" s="33"/>
      <c r="D83" s="63" t="str">
        <f>IF(ISERROR(VLOOKUP(C83,Matriz!$I$5:$J$24,2,FALSE)),"",VLOOKUP(C83,Matriz!$I$5:$J$24,2,FALSE))</f>
        <v/>
      </c>
      <c r="E83" s="36"/>
      <c r="F83" s="64" t="str">
        <f>IF(E83=0,"",VLOOKUP(E83,Líderes!$B$4:$C$53,2,FALSE))</f>
        <v/>
      </c>
      <c r="G83" s="18"/>
      <c r="H83" s="19"/>
      <c r="I83" s="40"/>
      <c r="J83" s="65"/>
      <c r="O83" s="42"/>
    </row>
    <row r="84" spans="2:15" ht="30" customHeight="1" thickTop="1" thickBot="1" x14ac:dyDescent="0.4">
      <c r="B84" s="20"/>
      <c r="C84" s="33"/>
      <c r="D84" s="63" t="str">
        <f>IF(ISERROR(VLOOKUP(C84,Matriz!$I$5:$J$24,2,FALSE)),"",VLOOKUP(C84,Matriz!$I$5:$J$24,2,FALSE))</f>
        <v/>
      </c>
      <c r="E84" s="36"/>
      <c r="F84" s="64" t="str">
        <f>IF(E84=0,"",VLOOKUP(E84,Líderes!$B$4:$C$53,2,FALSE))</f>
        <v/>
      </c>
      <c r="G84" s="18"/>
      <c r="H84" s="19"/>
      <c r="I84" s="40"/>
      <c r="J84" s="65"/>
      <c r="O84" s="42"/>
    </row>
    <row r="85" spans="2:15" ht="30" customHeight="1" thickTop="1" thickBot="1" x14ac:dyDescent="0.4">
      <c r="B85" s="20"/>
      <c r="C85" s="33"/>
      <c r="D85" s="63" t="str">
        <f>IF(ISERROR(VLOOKUP(C85,Matriz!$I$5:$J$24,2,FALSE)),"",VLOOKUP(C85,Matriz!$I$5:$J$24,2,FALSE))</f>
        <v/>
      </c>
      <c r="E85" s="36"/>
      <c r="F85" s="64" t="str">
        <f>IF(E85=0,"",VLOOKUP(E85,Líderes!$B$4:$C$53,2,FALSE))</f>
        <v/>
      </c>
      <c r="G85" s="18"/>
      <c r="H85" s="19"/>
      <c r="I85" s="40"/>
      <c r="J85" s="65"/>
      <c r="O85" s="42"/>
    </row>
    <row r="86" spans="2:15" ht="30" customHeight="1" thickTop="1" thickBot="1" x14ac:dyDescent="0.4">
      <c r="B86" s="20"/>
      <c r="C86" s="33"/>
      <c r="D86" s="63" t="str">
        <f>IF(ISERROR(VLOOKUP(C86,Matriz!$I$5:$J$24,2,FALSE)),"",VLOOKUP(C86,Matriz!$I$5:$J$24,2,FALSE))</f>
        <v/>
      </c>
      <c r="E86" s="36"/>
      <c r="F86" s="64" t="str">
        <f>IF(E86=0,"",VLOOKUP(E86,Líderes!$B$4:$C$53,2,FALSE))</f>
        <v/>
      </c>
      <c r="G86" s="18"/>
      <c r="H86" s="19"/>
      <c r="I86" s="40"/>
      <c r="J86" s="65"/>
      <c r="O86" s="42"/>
    </row>
    <row r="87" spans="2:15" ht="30" customHeight="1" thickTop="1" thickBot="1" x14ac:dyDescent="0.4">
      <c r="B87" s="20"/>
      <c r="C87" s="33"/>
      <c r="D87" s="63" t="str">
        <f>IF(ISERROR(VLOOKUP(C87,Matriz!$I$5:$J$24,2,FALSE)),"",VLOOKUP(C87,Matriz!$I$5:$J$24,2,FALSE))</f>
        <v/>
      </c>
      <c r="E87" s="36"/>
      <c r="F87" s="64" t="str">
        <f>IF(E87=0,"",VLOOKUP(E87,Líderes!$B$4:$C$53,2,FALSE))</f>
        <v/>
      </c>
      <c r="G87" s="18"/>
      <c r="H87" s="19"/>
      <c r="I87" s="40"/>
      <c r="J87" s="65"/>
      <c r="O87" s="42"/>
    </row>
    <row r="88" spans="2:15" ht="30" customHeight="1" thickTop="1" thickBot="1" x14ac:dyDescent="0.4">
      <c r="B88" s="20"/>
      <c r="C88" s="33"/>
      <c r="D88" s="63" t="str">
        <f>IF(ISERROR(VLOOKUP(C88,Matriz!$I$5:$J$24,2,FALSE)),"",VLOOKUP(C88,Matriz!$I$5:$J$24,2,FALSE))</f>
        <v/>
      </c>
      <c r="E88" s="36"/>
      <c r="F88" s="64" t="str">
        <f>IF(E88=0,"",VLOOKUP(E88,Líderes!$B$4:$C$53,2,FALSE))</f>
        <v/>
      </c>
      <c r="G88" s="18"/>
      <c r="H88" s="19"/>
      <c r="I88" s="40"/>
      <c r="J88" s="65"/>
      <c r="O88" s="42"/>
    </row>
    <row r="89" spans="2:15" ht="30" customHeight="1" thickTop="1" thickBot="1" x14ac:dyDescent="0.4">
      <c r="B89" s="20"/>
      <c r="C89" s="33"/>
      <c r="D89" s="63" t="str">
        <f>IF(ISERROR(VLOOKUP(C89,Matriz!$I$5:$J$24,2,FALSE)),"",VLOOKUP(C89,Matriz!$I$5:$J$24,2,FALSE))</f>
        <v/>
      </c>
      <c r="E89" s="36"/>
      <c r="F89" s="64" t="str">
        <f>IF(E89=0,"",VLOOKUP(E89,Líderes!$B$4:$C$53,2,FALSE))</f>
        <v/>
      </c>
      <c r="G89" s="18"/>
      <c r="H89" s="19"/>
      <c r="I89" s="40"/>
      <c r="J89" s="65"/>
      <c r="O89" s="42"/>
    </row>
    <row r="90" spans="2:15" ht="30" customHeight="1" thickTop="1" thickBot="1" x14ac:dyDescent="0.4">
      <c r="B90" s="20"/>
      <c r="C90" s="33"/>
      <c r="D90" s="63" t="str">
        <f>IF(ISERROR(VLOOKUP(C90,Matriz!$I$5:$J$24,2,FALSE)),"",VLOOKUP(C90,Matriz!$I$5:$J$24,2,FALSE))</f>
        <v/>
      </c>
      <c r="E90" s="36"/>
      <c r="F90" s="64" t="str">
        <f>IF(E90=0,"",VLOOKUP(E90,Líderes!$B$4:$C$53,2,FALSE))</f>
        <v/>
      </c>
      <c r="G90" s="18"/>
      <c r="H90" s="19"/>
      <c r="I90" s="40"/>
      <c r="J90" s="65"/>
      <c r="O90" s="42"/>
    </row>
    <row r="91" spans="2:15" ht="30" customHeight="1" thickTop="1" thickBot="1" x14ac:dyDescent="0.4">
      <c r="B91" s="20"/>
      <c r="C91" s="33"/>
      <c r="D91" s="63" t="str">
        <f>IF(ISERROR(VLOOKUP(C91,Matriz!$I$5:$J$24,2,FALSE)),"",VLOOKUP(C91,Matriz!$I$5:$J$24,2,FALSE))</f>
        <v/>
      </c>
      <c r="E91" s="36"/>
      <c r="F91" s="64" t="str">
        <f>IF(E91=0,"",VLOOKUP(E91,Líderes!$B$4:$C$53,2,FALSE))</f>
        <v/>
      </c>
      <c r="G91" s="18"/>
      <c r="H91" s="19"/>
      <c r="I91" s="40"/>
      <c r="J91" s="65"/>
      <c r="O91" s="42"/>
    </row>
    <row r="92" spans="2:15" ht="30" customHeight="1" thickTop="1" thickBot="1" x14ac:dyDescent="0.4">
      <c r="B92" s="20"/>
      <c r="C92" s="33"/>
      <c r="D92" s="63" t="str">
        <f>IF(ISERROR(VLOOKUP(C92,Matriz!$I$5:$J$24,2,FALSE)),"",VLOOKUP(C92,Matriz!$I$5:$J$24,2,FALSE))</f>
        <v/>
      </c>
      <c r="E92" s="36"/>
      <c r="F92" s="64" t="str">
        <f>IF(E92=0,"",VLOOKUP(E92,Líderes!$B$4:$C$53,2,FALSE))</f>
        <v/>
      </c>
      <c r="G92" s="18"/>
      <c r="H92" s="19"/>
      <c r="I92" s="40"/>
      <c r="J92" s="65"/>
      <c r="O92" s="42"/>
    </row>
    <row r="93" spans="2:15" ht="30" customHeight="1" thickTop="1" thickBot="1" x14ac:dyDescent="0.4">
      <c r="B93" s="20"/>
      <c r="C93" s="33"/>
      <c r="D93" s="63" t="str">
        <f>IF(ISERROR(VLOOKUP(C93,Matriz!$I$5:$J$24,2,FALSE)),"",VLOOKUP(C93,Matriz!$I$5:$J$24,2,FALSE))</f>
        <v/>
      </c>
      <c r="E93" s="36"/>
      <c r="F93" s="64" t="str">
        <f>IF(E93=0,"",VLOOKUP(E93,Líderes!$B$4:$C$53,2,FALSE))</f>
        <v/>
      </c>
      <c r="G93" s="18"/>
      <c r="H93" s="19"/>
      <c r="I93" s="40"/>
      <c r="J93" s="65"/>
      <c r="O93" s="42"/>
    </row>
    <row r="94" spans="2:15" ht="30" customHeight="1" thickTop="1" thickBot="1" x14ac:dyDescent="0.4">
      <c r="B94" s="20"/>
      <c r="C94" s="33"/>
      <c r="D94" s="63" t="str">
        <f>IF(ISERROR(VLOOKUP(C94,Matriz!$I$5:$J$24,2,FALSE)),"",VLOOKUP(C94,Matriz!$I$5:$J$24,2,FALSE))</f>
        <v/>
      </c>
      <c r="E94" s="36"/>
      <c r="F94" s="64" t="str">
        <f>IF(E94=0,"",VLOOKUP(E94,Líderes!$B$4:$C$53,2,FALSE))</f>
        <v/>
      </c>
      <c r="G94" s="18"/>
      <c r="H94" s="19"/>
      <c r="I94" s="40"/>
      <c r="J94" s="65"/>
      <c r="O94" s="42"/>
    </row>
    <row r="95" spans="2:15" ht="30" customHeight="1" thickTop="1" thickBot="1" x14ac:dyDescent="0.4">
      <c r="B95" s="20"/>
      <c r="C95" s="33"/>
      <c r="D95" s="63" t="str">
        <f>IF(ISERROR(VLOOKUP(C95,Matriz!$I$5:$J$24,2,FALSE)),"",VLOOKUP(C95,Matriz!$I$5:$J$24,2,FALSE))</f>
        <v/>
      </c>
      <c r="E95" s="36"/>
      <c r="F95" s="64" t="str">
        <f>IF(E95=0,"",VLOOKUP(E95,Líderes!$B$4:$C$53,2,FALSE))</f>
        <v/>
      </c>
      <c r="G95" s="18"/>
      <c r="H95" s="19"/>
      <c r="I95" s="40"/>
      <c r="J95" s="65"/>
      <c r="O95" s="42"/>
    </row>
    <row r="96" spans="2:15" ht="30" customHeight="1" thickTop="1" thickBot="1" x14ac:dyDescent="0.4">
      <c r="B96" s="20"/>
      <c r="C96" s="33"/>
      <c r="D96" s="63" t="str">
        <f>IF(ISERROR(VLOOKUP(C96,Matriz!$I$5:$J$24,2,FALSE)),"",VLOOKUP(C96,Matriz!$I$5:$J$24,2,FALSE))</f>
        <v/>
      </c>
      <c r="E96" s="36"/>
      <c r="F96" s="64" t="str">
        <f>IF(E96=0,"",VLOOKUP(E96,Líderes!$B$4:$C$53,2,FALSE))</f>
        <v/>
      </c>
      <c r="G96" s="18"/>
      <c r="H96" s="19"/>
      <c r="I96" s="40"/>
      <c r="J96" s="65"/>
      <c r="O96" s="42"/>
    </row>
    <row r="97" spans="2:15" ht="30" customHeight="1" thickTop="1" thickBot="1" x14ac:dyDescent="0.4">
      <c r="B97" s="20"/>
      <c r="C97" s="33"/>
      <c r="D97" s="63" t="str">
        <f>IF(ISERROR(VLOOKUP(C97,Matriz!$I$5:$J$24,2,FALSE)),"",VLOOKUP(C97,Matriz!$I$5:$J$24,2,FALSE))</f>
        <v/>
      </c>
      <c r="E97" s="36"/>
      <c r="F97" s="64" t="str">
        <f>IF(E97=0,"",VLOOKUP(E97,Líderes!$B$4:$C$53,2,FALSE))</f>
        <v/>
      </c>
      <c r="G97" s="18"/>
      <c r="H97" s="19"/>
      <c r="I97" s="40"/>
      <c r="J97" s="65"/>
      <c r="O97" s="42"/>
    </row>
    <row r="98" spans="2:15" ht="16.5" hidden="1" thickTop="1" thickBot="1" x14ac:dyDescent="0.4">
      <c r="B98" s="20"/>
      <c r="C98" s="21"/>
      <c r="D98" s="16" t="s">
        <v>8</v>
      </c>
      <c r="E98" s="17"/>
      <c r="F98" s="37" t="str">
        <f>IF(E98=0,"",VLOOKUP(E98,Líderes!$B$4:$C$53,2,FALSE))</f>
        <v/>
      </c>
      <c r="G98" s="18"/>
      <c r="H98" s="19"/>
      <c r="I98" s="22"/>
      <c r="J98" s="16"/>
      <c r="O98" s="42"/>
    </row>
    <row r="99" spans="2:15" ht="16.5" hidden="1" thickTop="1" thickBot="1" x14ac:dyDescent="0.4">
      <c r="B99" s="20"/>
      <c r="C99" s="21"/>
      <c r="D99" s="16" t="s">
        <v>8</v>
      </c>
      <c r="E99" s="17"/>
      <c r="F99" s="37" t="str">
        <f>IF(E99=0,"",VLOOKUP(E99,Líderes!$B$4:$C$53,2,FALSE))</f>
        <v/>
      </c>
      <c r="G99" s="18"/>
      <c r="H99" s="19"/>
      <c r="I99" s="22"/>
      <c r="J99" s="16"/>
      <c r="O99" s="42"/>
    </row>
    <row r="100" spans="2:15" ht="16.5" hidden="1" thickTop="1" thickBot="1" x14ac:dyDescent="0.4">
      <c r="B100" s="20"/>
      <c r="C100" s="21"/>
      <c r="D100" s="16" t="s">
        <v>8</v>
      </c>
      <c r="E100" s="17"/>
      <c r="F100" s="37" t="str">
        <f>IF(E100=0,"",VLOOKUP(E100,Líderes!$B$4:$C$53,2,FALSE))</f>
        <v/>
      </c>
      <c r="G100" s="18"/>
      <c r="H100" s="19"/>
      <c r="I100" s="22"/>
      <c r="J100" s="16"/>
      <c r="O100" s="42"/>
    </row>
    <row r="101" spans="2:15" ht="16.5" hidden="1" thickTop="1" thickBot="1" x14ac:dyDescent="0.4">
      <c r="B101" s="20"/>
      <c r="C101" s="21"/>
      <c r="D101" s="16" t="s">
        <v>8</v>
      </c>
      <c r="E101" s="17"/>
      <c r="F101" s="37" t="str">
        <f>IF(E101=0,"",VLOOKUP(E101,Líderes!$B$4:$C$53,2,FALSE))</f>
        <v/>
      </c>
      <c r="G101" s="18"/>
      <c r="H101" s="19"/>
      <c r="I101" s="22"/>
      <c r="J101" s="16"/>
      <c r="O101" s="42"/>
    </row>
    <row r="102" spans="2:15" ht="16.5" hidden="1" thickTop="1" thickBot="1" x14ac:dyDescent="0.4">
      <c r="B102" s="20"/>
      <c r="C102" s="21"/>
      <c r="D102" s="16" t="s">
        <v>8</v>
      </c>
      <c r="E102" s="17"/>
      <c r="F102" s="37" t="str">
        <f>IF(E102=0,"",VLOOKUP(E102,Líderes!$B$4:$C$53,2,FALSE))</f>
        <v/>
      </c>
      <c r="G102" s="18"/>
      <c r="H102" s="19"/>
      <c r="I102" s="22"/>
      <c r="J102" s="16"/>
      <c r="O102" s="42"/>
    </row>
    <row r="103" spans="2:15" ht="16.5" hidden="1" thickTop="1" thickBot="1" x14ac:dyDescent="0.4">
      <c r="B103" s="20"/>
      <c r="C103" s="21"/>
      <c r="D103" s="16" t="s">
        <v>8</v>
      </c>
      <c r="E103" s="17"/>
      <c r="F103" s="37" t="str">
        <f>IF(E103=0,"",VLOOKUP(E103,Líderes!$B$4:$C$53,2,FALSE))</f>
        <v/>
      </c>
      <c r="G103" s="18"/>
      <c r="H103" s="19"/>
      <c r="I103" s="23"/>
      <c r="J103" s="16" t="s">
        <v>8</v>
      </c>
      <c r="O103" s="42"/>
    </row>
    <row r="104" spans="2:15" ht="15" hidden="1" thickTop="1" x14ac:dyDescent="0.35">
      <c r="O104" s="42"/>
    </row>
    <row r="105" spans="2:15" ht="15" hidden="1" thickTop="1" x14ac:dyDescent="0.35">
      <c r="O105" s="42"/>
    </row>
    <row r="106" spans="2:15" ht="15" hidden="1" thickTop="1" x14ac:dyDescent="0.35">
      <c r="O106" s="42"/>
    </row>
    <row r="107" spans="2:15" ht="15" hidden="1" thickTop="1" x14ac:dyDescent="0.35">
      <c r="O107" s="42"/>
    </row>
    <row r="108" spans="2:15" ht="15" hidden="1" thickTop="1" x14ac:dyDescent="0.35">
      <c r="O108" s="42"/>
    </row>
    <row r="109" spans="2:15" ht="15" hidden="1" thickTop="1" x14ac:dyDescent="0.35">
      <c r="O109" s="42"/>
    </row>
    <row r="110" spans="2:15" ht="15" hidden="1" thickTop="1" x14ac:dyDescent="0.35">
      <c r="O110" s="42"/>
    </row>
    <row r="111" spans="2:15" ht="15" hidden="1" thickTop="1" x14ac:dyDescent="0.35">
      <c r="O111" s="42"/>
    </row>
    <row r="112" spans="2:15" ht="15" hidden="1" thickTop="1" x14ac:dyDescent="0.35">
      <c r="O112" s="42"/>
    </row>
    <row r="113" spans="15:15" ht="15" hidden="1" thickTop="1" x14ac:dyDescent="0.35">
      <c r="O113" s="42"/>
    </row>
    <row r="114" spans="15:15" ht="15" hidden="1" thickTop="1" x14ac:dyDescent="0.35">
      <c r="O114" s="42"/>
    </row>
    <row r="115" spans="15:15" ht="15" hidden="1" thickTop="1" x14ac:dyDescent="0.35">
      <c r="O115" s="42"/>
    </row>
    <row r="116" spans="15:15" ht="15" hidden="1" thickTop="1" x14ac:dyDescent="0.35">
      <c r="O116" s="42"/>
    </row>
    <row r="117" spans="15:15" ht="15" hidden="1" thickTop="1" x14ac:dyDescent="0.35"/>
    <row r="118" spans="15:15" ht="15" hidden="1" thickTop="1" x14ac:dyDescent="0.35"/>
    <row r="119" spans="15:15" ht="15" hidden="1" thickTop="1" x14ac:dyDescent="0.35"/>
    <row r="120" spans="15:15" ht="15" hidden="1" thickTop="1" x14ac:dyDescent="0.35"/>
    <row r="121" spans="15:15" ht="15" hidden="1" thickTop="1" x14ac:dyDescent="0.35"/>
    <row r="122" spans="15:15" ht="15" hidden="1" thickTop="1" x14ac:dyDescent="0.35"/>
    <row r="123" spans="15:15" ht="15" hidden="1" thickTop="1" x14ac:dyDescent="0.35"/>
    <row r="124" spans="15:15" ht="15" hidden="1" thickTop="1" x14ac:dyDescent="0.35"/>
    <row r="125" spans="15:15" ht="15" hidden="1" thickTop="1" x14ac:dyDescent="0.35"/>
    <row r="126" spans="15:15" ht="15" hidden="1" thickTop="1" x14ac:dyDescent="0.35"/>
    <row r="127" spans="15:15" ht="15" hidden="1" thickTop="1" x14ac:dyDescent="0.35"/>
    <row r="128" spans="15:15" ht="15" hidden="1" thickTop="1" x14ac:dyDescent="0.35"/>
    <row r="129" ht="15" hidden="1" thickTop="1" x14ac:dyDescent="0.35"/>
    <row r="130" ht="15" hidden="1" thickTop="1" x14ac:dyDescent="0.35"/>
    <row r="131" ht="15" hidden="1" thickTop="1" x14ac:dyDescent="0.35"/>
    <row r="132" ht="15" hidden="1" thickTop="1" x14ac:dyDescent="0.35"/>
    <row r="133" ht="15" hidden="1" thickTop="1" x14ac:dyDescent="0.35"/>
    <row r="134" ht="15" hidden="1" thickTop="1" x14ac:dyDescent="0.35"/>
    <row r="135" ht="15" hidden="1" thickTop="1" x14ac:dyDescent="0.35"/>
    <row r="136" ht="15" hidden="1" thickTop="1" x14ac:dyDescent="0.35"/>
    <row r="137" ht="15" hidden="1" thickTop="1" x14ac:dyDescent="0.35"/>
    <row r="138" ht="15" hidden="1" thickTop="1" x14ac:dyDescent="0.35"/>
    <row r="139" ht="15" hidden="1" thickTop="1" x14ac:dyDescent="0.35"/>
    <row r="140" ht="15" hidden="1" thickTop="1" x14ac:dyDescent="0.35"/>
    <row r="141" ht="15" hidden="1" thickTop="1" x14ac:dyDescent="0.35"/>
    <row r="142" ht="15" thickTop="1" x14ac:dyDescent="0.35"/>
    <row r="143" x14ac:dyDescent="0.35"/>
    <row r="144" x14ac:dyDescent="0.35"/>
  </sheetData>
  <sheetProtection formatCells="0" formatColumns="0" formatRows="0" selectLockedCells="1" autoFilter="0"/>
  <phoneticPr fontId="29" type="noConversion"/>
  <conditionalFormatting sqref="D4:D103">
    <cfRule type="containsText" dxfId="11" priority="1" operator="containsText" text="Social">
      <formula>NOT(ISERROR(SEARCH("Social",D4)))</formula>
    </cfRule>
    <cfRule type="containsText" dxfId="10" priority="2" operator="containsText" text="Econômico">
      <formula>NOT(ISERROR(SEARCH("Econômico",D4)))</formula>
    </cfRule>
    <cfRule type="containsText" dxfId="9" priority="5" operator="containsText" text="político">
      <formula>NOT(ISERROR(SEARCH("político",D4)))</formula>
    </cfRule>
    <cfRule type="containsText" dxfId="8" priority="6" operator="containsText" text="Tecnológico">
      <formula>NOT(ISERROR(SEARCH("Tecnológico",D4)))</formula>
    </cfRule>
  </conditionalFormatting>
  <conditionalFormatting sqref="J4:J103">
    <cfRule type="containsText" dxfId="7" priority="3" operator="containsText" text="Atrasado">
      <formula>NOT(ISERROR(SEARCH("Atrasado",J4)))</formula>
    </cfRule>
    <cfRule type="containsText" dxfId="6" priority="4" operator="containsText" text="o">
      <formula>NOT(ISERROR(SEARCH("o",J4)))</formula>
    </cfRule>
  </conditionalFormatting>
  <dataValidations count="3">
    <dataValidation type="list" allowBlank="1" showInputMessage="1" showErrorMessage="1" sqref="C4:C97" xr:uid="{00000000-0002-0000-0800-000000000000}">
      <formula1>OFFSET($O$5,,,20-COUNTBLANK($O$5:$O$24))</formula1>
    </dataValidation>
    <dataValidation type="list" allowBlank="1" showInputMessage="1" showErrorMessage="1" sqref="E4:E97" xr:uid="{00000000-0002-0000-0800-000001000000}">
      <formula1>OFFSET($L$5,,,49-COUNTIF($L$5:$L$53,"=0"))</formula1>
    </dataValidation>
    <dataValidation type="list" allowBlank="1" showInputMessage="1" showErrorMessage="1" sqref="I4:I97" xr:uid="{00000000-0002-0000-0800-000002000000}">
      <formula1>"Não Iniciado,Em Andamento,Concluído"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6"/>
  <dimension ref="B1:R105"/>
  <sheetViews>
    <sheetView showGridLines="0" zoomScale="70" zoomScaleNormal="70" workbookViewId="0">
      <selection activeCell="F14" sqref="F14"/>
    </sheetView>
  </sheetViews>
  <sheetFormatPr defaultColWidth="8.81640625" defaultRowHeight="14.5" zeroHeight="1" x14ac:dyDescent="0.35"/>
  <cols>
    <col min="1" max="1" width="3.81640625" customWidth="1"/>
    <col min="2" max="2" width="130.26953125" customWidth="1"/>
    <col min="3" max="3" width="14.36328125" customWidth="1"/>
    <col min="4" max="4" width="12.7265625" customWidth="1"/>
    <col min="5" max="5" width="103.7265625" customWidth="1"/>
    <col min="6" max="6" width="12.26953125" customWidth="1"/>
    <col min="7" max="7" width="33" customWidth="1"/>
    <col min="8" max="8" width="47.7265625" customWidth="1"/>
    <col min="9" max="10" width="12.7265625" customWidth="1"/>
    <col min="11" max="18" width="8.81640625" style="4"/>
  </cols>
  <sheetData>
    <row r="1" spans="2:18" s="73" customFormat="1" ht="34" customHeight="1" x14ac:dyDescent="0.55000000000000004">
      <c r="B1" s="76"/>
      <c r="K1" s="75"/>
      <c r="L1" s="75"/>
      <c r="M1" s="75"/>
      <c r="N1" s="75"/>
      <c r="O1" s="75"/>
      <c r="P1" s="75"/>
      <c r="Q1" s="75"/>
      <c r="R1" s="75"/>
    </row>
    <row r="2" spans="2:18" s="73" customFormat="1" ht="34" customHeight="1" x14ac:dyDescent="0.55000000000000004">
      <c r="B2" s="76"/>
      <c r="K2" s="75"/>
      <c r="L2" s="75"/>
      <c r="M2" s="75"/>
      <c r="N2" s="75"/>
      <c r="O2" s="75"/>
      <c r="P2" s="75"/>
      <c r="Q2" s="75"/>
      <c r="R2" s="75"/>
    </row>
    <row r="3" spans="2:18" s="73" customFormat="1" ht="34" customHeight="1" x14ac:dyDescent="0.55000000000000004">
      <c r="B3" s="76"/>
      <c r="K3" s="75"/>
      <c r="L3" s="75"/>
      <c r="M3" s="75"/>
      <c r="N3" s="75"/>
      <c r="O3" s="75"/>
      <c r="P3" s="75"/>
      <c r="Q3" s="75"/>
      <c r="R3" s="75"/>
    </row>
    <row r="4" spans="2:18" s="73" customFormat="1" ht="89.25" customHeight="1" x14ac:dyDescent="0.55000000000000004">
      <c r="B4" s="76"/>
      <c r="K4" s="75"/>
      <c r="L4" s="75"/>
      <c r="M4" s="75"/>
      <c r="N4" s="75"/>
      <c r="O4" s="75"/>
      <c r="P4" s="75"/>
      <c r="Q4" s="75"/>
      <c r="R4" s="75"/>
    </row>
    <row r="5" spans="2:18" s="73" customFormat="1" ht="89.25" customHeight="1" x14ac:dyDescent="0.55000000000000004">
      <c r="B5" s="76"/>
      <c r="K5" s="75"/>
      <c r="L5" s="75"/>
      <c r="M5" s="75"/>
      <c r="N5" s="75"/>
      <c r="O5" s="75"/>
      <c r="P5" s="75"/>
      <c r="Q5" s="75"/>
      <c r="R5" s="75"/>
    </row>
    <row r="6" spans="2:18" ht="13.5" customHeight="1" x14ac:dyDescent="0.35"/>
    <row r="7" spans="2:18" ht="13.5" customHeight="1" x14ac:dyDescent="0.35"/>
    <row r="8" spans="2:18" ht="30" customHeight="1" x14ac:dyDescent="0.35">
      <c r="B8" s="24" t="s">
        <v>107</v>
      </c>
      <c r="C8" s="25"/>
      <c r="D8" s="25"/>
      <c r="E8" s="25"/>
      <c r="F8" s="4"/>
      <c r="G8" s="4"/>
      <c r="H8" s="4"/>
      <c r="I8" s="1"/>
      <c r="J8" s="1"/>
      <c r="L8" s="14"/>
      <c r="M8" s="14"/>
      <c r="N8" s="14"/>
      <c r="O8" s="14"/>
      <c r="P8" s="14"/>
      <c r="Q8" s="14"/>
      <c r="R8" s="14"/>
    </row>
    <row r="9" spans="2:18" ht="4.5" customHeight="1" thickBot="1" x14ac:dyDescent="0.4"/>
    <row r="10" spans="2:18" ht="22.5" customHeight="1" thickTop="1" thickBot="1" x14ac:dyDescent="0.4">
      <c r="B10" s="66" t="s">
        <v>38</v>
      </c>
      <c r="C10" s="101">
        <f>'Fator Político'!F25</f>
        <v>370</v>
      </c>
      <c r="D10" s="102"/>
      <c r="E10" s="102"/>
      <c r="F10" s="1"/>
      <c r="G10" s="1"/>
      <c r="H10" s="1"/>
      <c r="I10" s="1"/>
      <c r="J10" s="1"/>
      <c r="L10" s="1" t="s">
        <v>38</v>
      </c>
      <c r="M10" s="4" t="s">
        <v>8</v>
      </c>
      <c r="N10" s="9"/>
    </row>
    <row r="11" spans="2:18" ht="24.75" customHeight="1" thickTop="1" thickBot="1" x14ac:dyDescent="0.4">
      <c r="B11" s="66" t="s">
        <v>39</v>
      </c>
      <c r="C11" s="101">
        <f>'Fator Econômico'!F24</f>
        <v>267</v>
      </c>
      <c r="D11" s="102"/>
      <c r="E11" s="102"/>
      <c r="F11" s="1"/>
      <c r="G11" s="1"/>
      <c r="H11" s="1"/>
      <c r="I11" s="1"/>
      <c r="J11" s="1"/>
      <c r="L11" s="1" t="s">
        <v>39</v>
      </c>
      <c r="M11" s="4" t="s">
        <v>8</v>
      </c>
      <c r="N11" s="9"/>
    </row>
    <row r="12" spans="2:18" ht="25.5" customHeight="1" thickTop="1" thickBot="1" x14ac:dyDescent="0.4">
      <c r="B12" s="66" t="s">
        <v>40</v>
      </c>
      <c r="C12" s="101">
        <f>'Fator Social'!F24</f>
        <v>329</v>
      </c>
      <c r="D12" s="102"/>
      <c r="E12" s="102"/>
      <c r="F12" s="1"/>
      <c r="G12" s="1"/>
      <c r="H12" s="1"/>
      <c r="I12" s="1"/>
      <c r="J12" s="1"/>
      <c r="L12" s="1" t="s">
        <v>40</v>
      </c>
      <c r="N12" s="9"/>
    </row>
    <row r="13" spans="2:18" ht="22.5" customHeight="1" thickTop="1" thickBot="1" x14ac:dyDescent="0.4">
      <c r="B13" s="66" t="s">
        <v>41</v>
      </c>
      <c r="C13" s="101">
        <f>'Fator Tecnológico'!F24</f>
        <v>182</v>
      </c>
      <c r="D13" s="102"/>
      <c r="E13" s="102"/>
      <c r="F13" s="1"/>
      <c r="G13" s="1"/>
      <c r="H13" s="1"/>
      <c r="I13" s="1"/>
      <c r="J13" s="1"/>
      <c r="L13" s="1" t="s">
        <v>41</v>
      </c>
      <c r="N13" s="9"/>
    </row>
    <row r="14" spans="2:18" ht="28.5" customHeight="1" thickTop="1" x14ac:dyDescent="0.35"/>
    <row r="15" spans="2:18" ht="30" customHeight="1" x14ac:dyDescent="0.35">
      <c r="B15" s="103" t="s">
        <v>108</v>
      </c>
      <c r="C15" s="104"/>
      <c r="D15" s="104"/>
      <c r="E15" s="104"/>
    </row>
    <row r="16" spans="2:18" ht="3.75" customHeight="1" x14ac:dyDescent="0.35"/>
    <row r="17" spans="2:6" ht="24.75" customHeight="1" thickBot="1" x14ac:dyDescent="0.4">
      <c r="B17" s="97" t="str">
        <f>Matriz!B6</f>
        <v>Avanço da regulamentação da Inteligência Artificial no Brasil</v>
      </c>
      <c r="C17" s="98"/>
      <c r="D17" s="105">
        <f>Matriz!C6</f>
        <v>125</v>
      </c>
      <c r="E17" s="106"/>
    </row>
    <row r="18" spans="2:6" ht="23.25" customHeight="1" thickTop="1" thickBot="1" x14ac:dyDescent="0.4">
      <c r="B18" s="97" t="str">
        <f>Matriz!B7</f>
        <v>Regulamentação e fiscalização da LGPD no uso de dados corporativos</v>
      </c>
      <c r="C18" s="98"/>
      <c r="D18" s="105">
        <f>Matriz!C7</f>
        <v>75</v>
      </c>
      <c r="E18" s="106"/>
    </row>
    <row r="19" spans="2:6" ht="22.5" customHeight="1" thickTop="1" thickBot="1" x14ac:dyDescent="0.4">
      <c r="B19" s="97" t="str">
        <f>Matriz!B8</f>
        <v>Tributação sobre serviços de tecnologia e computação em nuvem</v>
      </c>
      <c r="C19" s="98"/>
      <c r="D19" s="105">
        <f>Matriz!C8</f>
        <v>48</v>
      </c>
      <c r="E19" s="106"/>
    </row>
    <row r="20" spans="2:6" ht="24.75" customHeight="1" thickTop="1" thickBot="1" x14ac:dyDescent="0.4">
      <c r="B20" s="97" t="str">
        <f>Matriz!B9</f>
        <v>Regras sobre transferência internacional de dados (Cloud)</v>
      </c>
      <c r="C20" s="98"/>
      <c r="D20" s="105">
        <f>Matriz!C9</f>
        <v>45</v>
      </c>
      <c r="E20" s="106"/>
    </row>
    <row r="21" spans="2:6" ht="21.75" customHeight="1" thickTop="1" thickBot="1" x14ac:dyDescent="0.4">
      <c r="B21" s="97" t="str">
        <f>Matriz!B10</f>
        <v>Marcos regulatórios e de compliance no setor financeiro</v>
      </c>
      <c r="C21" s="98"/>
      <c r="D21" s="105">
        <f>Matriz!C10</f>
        <v>24</v>
      </c>
      <c r="E21" s="106"/>
    </row>
    <row r="22" spans="2:6" ht="3.75" customHeight="1" thickTop="1" x14ac:dyDescent="0.35"/>
    <row r="23" spans="2:6" ht="30" customHeight="1" x14ac:dyDescent="0.35">
      <c r="B23" s="103" t="s">
        <v>110</v>
      </c>
      <c r="C23" s="104"/>
      <c r="D23" s="104"/>
      <c r="E23" s="104"/>
      <c r="F23" s="4"/>
    </row>
    <row r="24" spans="2:6" ht="3.75" customHeight="1" x14ac:dyDescent="0.35"/>
    <row r="25" spans="2:6" ht="22.5" customHeight="1" thickBot="1" x14ac:dyDescent="0.4">
      <c r="B25" s="97" t="str">
        <f>Matriz!B14</f>
        <v>Adoção descontrolada de ferramentas de IA pelos funcionários (Shadow AI)</v>
      </c>
      <c r="C25" s="98"/>
      <c r="D25" s="107">
        <f>Matriz!C14</f>
        <v>125</v>
      </c>
      <c r="E25" s="108"/>
    </row>
    <row r="26" spans="2:6" ht="22.5" customHeight="1" thickTop="1" thickBot="1" x14ac:dyDescent="0.4">
      <c r="B26" s="97" t="str">
        <f>Matriz!B15</f>
        <v>Escassez de mão de obra superespecializada em dados e IA no mercado</v>
      </c>
      <c r="C26" s="98"/>
      <c r="D26" s="107">
        <f>Matriz!C15</f>
        <v>80</v>
      </c>
      <c r="E26" s="108"/>
      <c r="F26" s="4"/>
    </row>
    <row r="27" spans="2:6" ht="22.5" customHeight="1" thickTop="1" thickBot="1" x14ac:dyDescent="0.4">
      <c r="B27" s="97" t="str">
        <f>Matriz!B16</f>
        <v>Preocupação crescente com a privacidade e vazamento de dados corporativos</v>
      </c>
      <c r="C27" s="98"/>
      <c r="D27" s="107">
        <f>Matriz!C16</f>
        <v>48</v>
      </c>
      <c r="E27" s="108"/>
    </row>
    <row r="28" spans="2:6" ht="22.5" customHeight="1" thickTop="1" thickBot="1" x14ac:dyDescent="0.4">
      <c r="B28" s="97" t="str">
        <f>Matriz!B17</f>
        <v>Necessidade contínua de capacitação das equipes (Lifelong learning)</v>
      </c>
      <c r="C28" s="98"/>
      <c r="D28" s="107">
        <f>Matriz!C17</f>
        <v>18</v>
      </c>
      <c r="E28" s="108"/>
    </row>
    <row r="29" spans="2:6" ht="22.5" customHeight="1" thickTop="1" thickBot="1" x14ac:dyDescent="0.4">
      <c r="B29" s="97" t="str">
        <f>Matriz!B18</f>
        <v>Resistência social e medo da substituição de empregos por Inteligência Artificial</v>
      </c>
      <c r="C29" s="98"/>
      <c r="D29" s="107">
        <f>Matriz!C18</f>
        <v>16</v>
      </c>
      <c r="E29" s="108"/>
    </row>
    <row r="30" spans="2:6" ht="9" customHeight="1" thickTop="1" x14ac:dyDescent="0.35"/>
    <row r="31" spans="2:6" ht="30" customHeight="1" x14ac:dyDescent="0.35">
      <c r="B31" s="103" t="s">
        <v>109</v>
      </c>
      <c r="C31" s="104"/>
      <c r="D31" s="104"/>
      <c r="E31" s="104"/>
    </row>
    <row r="32" spans="2:6" ht="8.25" customHeight="1" x14ac:dyDescent="0.35">
      <c r="C32" s="26"/>
    </row>
    <row r="33" spans="2:5" ht="30" customHeight="1" thickBot="1" x14ac:dyDescent="0.4">
      <c r="B33" s="97" t="str">
        <f>Matriz!D6</f>
        <v>Variação cambial (Dólar) impactando licenças de Cloud (AWS, Azure, etc.)</v>
      </c>
      <c r="C33" s="98"/>
      <c r="D33" s="99">
        <f>Matriz!E6</f>
        <v>100</v>
      </c>
      <c r="E33" s="100"/>
    </row>
    <row r="34" spans="2:5" ht="30" customHeight="1" thickTop="1" thickBot="1" x14ac:dyDescent="0.4">
      <c r="B34" s="97" t="str">
        <f>Matriz!D7</f>
        <v>Inflação salarial e custo para atração/retenção de talentos de TI</v>
      </c>
      <c r="C34" s="98"/>
      <c r="D34" s="99">
        <f>Matriz!E7</f>
        <v>48</v>
      </c>
      <c r="E34" s="100"/>
    </row>
    <row r="35" spans="2:5" ht="30" customHeight="1" thickTop="1" thickBot="1" x14ac:dyDescent="0.4">
      <c r="B35" s="97" t="str">
        <f>Matriz!D8</f>
        <v>Competitividade e pressão sobre o pricing de consultorias de dados</v>
      </c>
      <c r="C35" s="98"/>
      <c r="D35" s="99">
        <f>Matriz!E8</f>
        <v>36</v>
      </c>
      <c r="E35" s="100"/>
    </row>
    <row r="36" spans="2:5" ht="30" customHeight="1" thickTop="1" thickBot="1" x14ac:dyDescent="0.4">
      <c r="B36" s="97" t="str">
        <f>Matriz!D9</f>
        <v>Crescimento de investimentos tecnológicos no Setor Financeiro e Seguradoras</v>
      </c>
      <c r="C36" s="98"/>
      <c r="D36" s="99">
        <f>Matriz!E9</f>
        <v>20</v>
      </c>
      <c r="E36" s="100"/>
    </row>
    <row r="37" spans="2:5" ht="30" customHeight="1" thickTop="1" thickBot="1" x14ac:dyDescent="0.4">
      <c r="B37" s="97" t="str">
        <f>Matriz!D10</f>
        <v>Orçamento corporativo focado em eficiência e redução de custos (FinOps)</v>
      </c>
      <c r="C37" s="98"/>
      <c r="D37" s="99">
        <f>Matriz!E10</f>
        <v>12</v>
      </c>
      <c r="E37" s="100"/>
    </row>
    <row r="38" spans="2:5" ht="6.75" customHeight="1" thickTop="1" x14ac:dyDescent="0.35"/>
    <row r="39" spans="2:5" ht="30" customHeight="1" x14ac:dyDescent="0.35">
      <c r="B39" s="103" t="s">
        <v>111</v>
      </c>
      <c r="C39" s="104"/>
      <c r="D39" s="104"/>
      <c r="E39" s="104"/>
    </row>
    <row r="40" spans="2:5" ht="9.75" customHeight="1" x14ac:dyDescent="0.35"/>
    <row r="41" spans="2:5" ht="30" customHeight="1" thickBot="1" x14ac:dyDescent="0.4">
      <c r="B41" s="97" t="str">
        <f>Matriz!D14</f>
        <v>Aumento da complexidade na integração de múltiplas plataformas (Salesforce, Oracle, etc.)</v>
      </c>
      <c r="C41" s="98"/>
      <c r="D41" s="109">
        <f>Matriz!E14</f>
        <v>48</v>
      </c>
      <c r="E41" s="110"/>
    </row>
    <row r="42" spans="2:5" ht="30" customHeight="1" thickTop="1" thickBot="1" x14ac:dyDescent="0.4">
      <c r="B42" s="97" t="str">
        <f>Matriz!D15</f>
        <v>Rápida evolução e surgimento de novas ferramentas de Inteligência Artificial</v>
      </c>
      <c r="C42" s="98"/>
      <c r="D42" s="109">
        <f>Matriz!E15</f>
        <v>25</v>
      </c>
      <c r="E42" s="110"/>
    </row>
    <row r="43" spans="2:5" ht="30" customHeight="1" thickTop="1" thickBot="1" x14ac:dyDescent="0.4">
      <c r="B43" s="97" t="str">
        <f>Matriz!D16</f>
        <v>Crescimento da necessidade de plataformas de Governança de Dados e IA</v>
      </c>
      <c r="C43" s="98"/>
      <c r="D43" s="109">
        <f>Matriz!E16</f>
        <v>25</v>
      </c>
      <c r="E43" s="110"/>
    </row>
    <row r="44" spans="2:5" ht="30" customHeight="1" thickTop="1" thickBot="1" x14ac:dyDescent="0.4">
      <c r="B44" s="97" t="str">
        <f>Matriz!D17</f>
        <v>Evolução dos ecossistemas de Cloud e Data Lakehouses (Databricks, Snowflake)</v>
      </c>
      <c r="C44" s="98"/>
      <c r="D44" s="109">
        <f>Matriz!E17</f>
        <v>24</v>
      </c>
      <c r="E44" s="110"/>
    </row>
    <row r="45" spans="2:5" ht="30" customHeight="1" thickTop="1" thickBot="1" x14ac:dyDescent="0.4">
      <c r="B45" s="97" t="str">
        <f>Matriz!D18</f>
        <v>Democratização do Self-Service BI exigindo mais controle e monitoramento</v>
      </c>
      <c r="C45" s="98"/>
      <c r="D45" s="109">
        <f>Matriz!E18</f>
        <v>18</v>
      </c>
      <c r="E45" s="110"/>
    </row>
    <row r="46" spans="2:5" ht="30" customHeight="1" thickTop="1" x14ac:dyDescent="0.35"/>
    <row r="47" spans="2:5" ht="30" customHeight="1" x14ac:dyDescent="0.35"/>
    <row r="48" spans="2:5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  <row r="98" ht="30" customHeight="1" x14ac:dyDescent="0.35"/>
    <row r="99" ht="30" customHeight="1" x14ac:dyDescent="0.35"/>
    <row r="100" ht="30" customHeight="1" x14ac:dyDescent="0.35"/>
    <row r="101" ht="30" customHeight="1" x14ac:dyDescent="0.35"/>
    <row r="102" ht="30" customHeight="1" x14ac:dyDescent="0.35"/>
    <row r="103" ht="30" customHeight="1" x14ac:dyDescent="0.35"/>
    <row r="104" x14ac:dyDescent="0.35"/>
    <row r="105" x14ac:dyDescent="0.35"/>
  </sheetData>
  <sheetProtection selectLockedCells="1"/>
  <mergeCells count="48">
    <mergeCell ref="C10:E10"/>
    <mergeCell ref="B28:C28"/>
    <mergeCell ref="D28:E28"/>
    <mergeCell ref="B44:C44"/>
    <mergeCell ref="D44:E44"/>
    <mergeCell ref="B23:E23"/>
    <mergeCell ref="B39:E39"/>
    <mergeCell ref="B25:C25"/>
    <mergeCell ref="D25:E25"/>
    <mergeCell ref="B41:C41"/>
    <mergeCell ref="D41:E41"/>
    <mergeCell ref="B20:C20"/>
    <mergeCell ref="D20:E20"/>
    <mergeCell ref="B36:C36"/>
    <mergeCell ref="D36:E36"/>
    <mergeCell ref="B21:C21"/>
    <mergeCell ref="B45:C45"/>
    <mergeCell ref="D45:E45"/>
    <mergeCell ref="B26:C26"/>
    <mergeCell ref="D26:E26"/>
    <mergeCell ref="B42:C42"/>
    <mergeCell ref="D42:E42"/>
    <mergeCell ref="B27:C27"/>
    <mergeCell ref="D27:E27"/>
    <mergeCell ref="B43:C43"/>
    <mergeCell ref="D43:E43"/>
    <mergeCell ref="B33:C33"/>
    <mergeCell ref="D33:E33"/>
    <mergeCell ref="B37:C37"/>
    <mergeCell ref="D37:E37"/>
    <mergeCell ref="B34:C34"/>
    <mergeCell ref="D34:E34"/>
    <mergeCell ref="B35:C35"/>
    <mergeCell ref="D35:E35"/>
    <mergeCell ref="C13:E13"/>
    <mergeCell ref="C12:E12"/>
    <mergeCell ref="C11:E11"/>
    <mergeCell ref="B15:E15"/>
    <mergeCell ref="B31:E31"/>
    <mergeCell ref="B17:C17"/>
    <mergeCell ref="D17:E17"/>
    <mergeCell ref="B18:C18"/>
    <mergeCell ref="D18:E18"/>
    <mergeCell ref="B19:C19"/>
    <mergeCell ref="D19:E19"/>
    <mergeCell ref="D21:E21"/>
    <mergeCell ref="B29:C29"/>
    <mergeCell ref="D29:E29"/>
  </mergeCells>
  <conditionalFormatting sqref="C10:E13">
    <cfRule type="dataBar" priority="1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{8EAC274C-DD0C-4C2E-92AC-2D1B380E1108}</x14:id>
        </ext>
      </extLst>
    </cfRule>
  </conditionalFormatting>
  <conditionalFormatting sqref="D17:E21">
    <cfRule type="dataBar" priority="5">
      <dataBar>
        <cfvo type="num" val="0"/>
        <cfvo type="num" val="125"/>
        <color rgb="FF99CC99"/>
      </dataBar>
      <extLst>
        <ext xmlns:x14="http://schemas.microsoft.com/office/spreadsheetml/2009/9/main" uri="{B025F937-C7B1-47D3-B67F-A62EFF666E3E}">
          <x14:id>{C5476133-1AB3-44C1-902F-88A588538213}</x14:id>
        </ext>
      </extLst>
    </cfRule>
  </conditionalFormatting>
  <conditionalFormatting sqref="D25:E29">
    <cfRule type="dataBar" priority="2">
      <dataBar>
        <cfvo type="num" val="0"/>
        <cfvo type="num" val="125"/>
        <color theme="3" tint="0.59999389629810485"/>
      </dataBar>
      <extLst>
        <ext xmlns:x14="http://schemas.microsoft.com/office/spreadsheetml/2009/9/main" uri="{B025F937-C7B1-47D3-B67F-A62EFF666E3E}">
          <x14:id>{BC5473A8-5F49-4E50-B9CD-1E60F1663729}</x14:id>
        </ext>
      </extLst>
    </cfRule>
  </conditionalFormatting>
  <conditionalFormatting sqref="D33:E37">
    <cfRule type="dataBar" priority="4">
      <dataBar>
        <cfvo type="num" val="0"/>
        <cfvo type="num" val="125"/>
        <color rgb="FFFFC000"/>
      </dataBar>
      <extLst>
        <ext xmlns:x14="http://schemas.microsoft.com/office/spreadsheetml/2009/9/main" uri="{B025F937-C7B1-47D3-B67F-A62EFF666E3E}">
          <x14:id>{C9B1315A-ABB9-4A23-93BA-1F31A5620774}</x14:id>
        </ext>
      </extLst>
    </cfRule>
  </conditionalFormatting>
  <conditionalFormatting sqref="D41:E45">
    <cfRule type="dataBar" priority="3">
      <dataBar>
        <cfvo type="num" val="0"/>
        <cfvo type="num" val="125"/>
        <color rgb="FFFF6666"/>
      </dataBar>
      <extLst>
        <ext xmlns:x14="http://schemas.microsoft.com/office/spreadsheetml/2009/9/main" uri="{B025F937-C7B1-47D3-B67F-A62EFF666E3E}">
          <x14:id>{551CF33F-704C-4627-97DB-A5E9C0C85EB4}</x14:id>
        </ext>
      </extLst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AC274C-DD0C-4C2E-92AC-2D1B380E1108}">
            <x14:dataBar minLength="0" maxLength="100" gradient="0">
              <x14:cfvo type="num">
                <xm:f>0</xm:f>
              </x14:cfvo>
              <x14:cfvo type="max"/>
              <x14:negativeFillColor rgb="FFFF0000"/>
              <x14:axisColor rgb="FF000000"/>
            </x14:dataBar>
          </x14:cfRule>
          <xm:sqref>C10:E13</xm:sqref>
        </x14:conditionalFormatting>
        <x14:conditionalFormatting xmlns:xm="http://schemas.microsoft.com/office/excel/2006/main">
          <x14:cfRule type="dataBar" id="{C5476133-1AB3-44C1-902F-88A588538213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D17:E21</xm:sqref>
        </x14:conditionalFormatting>
        <x14:conditionalFormatting xmlns:xm="http://schemas.microsoft.com/office/excel/2006/main">
          <x14:cfRule type="dataBar" id="{BC5473A8-5F49-4E50-B9CD-1E60F1663729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D25:E29</xm:sqref>
        </x14:conditionalFormatting>
        <x14:conditionalFormatting xmlns:xm="http://schemas.microsoft.com/office/excel/2006/main">
          <x14:cfRule type="dataBar" id="{C9B1315A-ABB9-4A23-93BA-1F31A5620774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D33:E37</xm:sqref>
        </x14:conditionalFormatting>
        <x14:conditionalFormatting xmlns:xm="http://schemas.microsoft.com/office/excel/2006/main">
          <x14:cfRule type="dataBar" id="{551CF33F-704C-4627-97DB-A5E9C0C85EB4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D41:E45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7"/>
  <dimension ref="B1:S100"/>
  <sheetViews>
    <sheetView showGridLines="0" zoomScale="70" zoomScaleNormal="70" workbookViewId="0">
      <selection activeCell="I16" sqref="I16"/>
    </sheetView>
  </sheetViews>
  <sheetFormatPr defaultColWidth="8.81640625" defaultRowHeight="14.5" zeroHeight="1" x14ac:dyDescent="0.35"/>
  <cols>
    <col min="1" max="1" width="3.81640625" customWidth="1"/>
    <col min="2" max="2" width="31.7265625" customWidth="1"/>
    <col min="3" max="3" width="62.6328125" customWidth="1"/>
    <col min="4" max="4" width="20.36328125" customWidth="1"/>
    <col min="5" max="5" width="24.7265625" customWidth="1"/>
    <col min="6" max="6" width="58.08984375" customWidth="1"/>
    <col min="7" max="7" width="53.81640625" customWidth="1"/>
    <col min="17" max="18" width="8.81640625" style="1"/>
    <col min="19" max="19" width="8.81640625" style="1" customWidth="1"/>
  </cols>
  <sheetData>
    <row r="1" spans="2:19" s="73" customFormat="1" ht="34" customHeight="1" x14ac:dyDescent="0.55000000000000004">
      <c r="B1" s="76"/>
      <c r="Q1" s="74"/>
      <c r="R1" s="74"/>
      <c r="S1" s="74"/>
    </row>
    <row r="2" spans="2:19" s="1" customFormat="1" ht="30" customHeight="1" x14ac:dyDescent="0.35">
      <c r="B2" s="1">
        <f t="array" ref="B2">SUM(IFERROR(1/COUNTIF(Planejamento!$C$4:$C$103,Planejamento!$C$4:$C$103),0))</f>
        <v>4</v>
      </c>
      <c r="C2" s="1">
        <f>20-COUNTBLANK(Matriz!I5:I24)</f>
        <v>20</v>
      </c>
      <c r="D2" s="49">
        <f>B2/C2*100</f>
        <v>20</v>
      </c>
      <c r="E2" s="1" t="str">
        <f>IF(D2&lt;50,F2,IF(D2&gt;=80,H2,G2))</f>
        <v>Se você busca melhores resultados, é preciso atuar em mais itens criando planos de ação eficientes para cada um deles!</v>
      </c>
      <c r="F2" s="1" t="s">
        <v>46</v>
      </c>
      <c r="G2" s="1" t="s">
        <v>47</v>
      </c>
      <c r="H2" s="1" t="s">
        <v>45</v>
      </c>
      <c r="Q2" s="1" t="s">
        <v>48</v>
      </c>
      <c r="R2" s="1">
        <f ca="1">COUNTIF(Planejamento!$H$4:$H$103,"&gt;"&amp;TODAY())</f>
        <v>0</v>
      </c>
    </row>
    <row r="3" spans="2:19" ht="30" customHeight="1" thickBot="1" x14ac:dyDescent="0.4">
      <c r="B3" s="103" t="s">
        <v>104</v>
      </c>
      <c r="C3" s="104"/>
      <c r="D3" s="27"/>
      <c r="Q3" s="1" t="s">
        <v>49</v>
      </c>
      <c r="R3" s="1">
        <f ca="1">R10</f>
        <v>4</v>
      </c>
    </row>
    <row r="4" spans="2:19" ht="57" customHeight="1" thickTop="1" thickBot="1" x14ac:dyDescent="0.4">
      <c r="B4" s="111" t="str">
        <f>"Você definiu planos de ação para "&amp;B2&amp;" de "&amp;C2&amp;" dos principais itens da sua Análise PEST"</f>
        <v>Você definiu planos de ação para 4 de 20 dos principais itens da sua Análise PEST</v>
      </c>
      <c r="C4" s="111"/>
      <c r="D4" s="28">
        <f>IF(ISERROR(D2/100),0,D2/100)</f>
        <v>0.2</v>
      </c>
      <c r="E4" s="112" t="str">
        <f>IF(ISERROR(E2),"",E2)</f>
        <v>Se você busca melhores resultados, é preciso atuar em mais itens criando planos de ação eficientes para cada um deles!</v>
      </c>
      <c r="F4" s="112"/>
      <c r="G4" s="112"/>
    </row>
    <row r="5" spans="2:19" ht="15" customHeight="1" thickTop="1" thickBot="1" x14ac:dyDescent="0.4">
      <c r="D5" s="29"/>
      <c r="F5" s="1"/>
      <c r="G5" s="1"/>
      <c r="I5" s="1"/>
      <c r="J5" s="1">
        <v>5</v>
      </c>
      <c r="K5" s="1">
        <v>6</v>
      </c>
      <c r="L5" s="1">
        <v>8</v>
      </c>
      <c r="M5" s="1"/>
      <c r="N5" s="1"/>
    </row>
    <row r="6" spans="2:19" ht="30" customHeight="1" thickTop="1" x14ac:dyDescent="0.35">
      <c r="B6" s="103" t="s">
        <v>106</v>
      </c>
      <c r="C6" s="104"/>
      <c r="D6" s="25"/>
      <c r="E6" s="103" t="s">
        <v>105</v>
      </c>
      <c r="F6" s="104"/>
      <c r="G6" s="25"/>
      <c r="H6" s="30"/>
      <c r="I6" s="1">
        <v>1</v>
      </c>
      <c r="J6" s="1" t="e">
        <v>#NUM!</v>
      </c>
      <c r="K6" s="1" t="e">
        <v>#NUM!</v>
      </c>
      <c r="L6" s="1" t="e">
        <v>#NUM!</v>
      </c>
      <c r="M6" s="1"/>
      <c r="N6" s="1"/>
      <c r="Q6" s="1" t="s">
        <v>51</v>
      </c>
      <c r="R6" s="1">
        <f ca="1">COUNTIF(Planejamento!$J$4:$J$103,Q6)</f>
        <v>0</v>
      </c>
    </row>
    <row r="7" spans="2:19" ht="20.25" customHeight="1" x14ac:dyDescent="0.35">
      <c r="I7" s="1"/>
      <c r="J7" s="1"/>
      <c r="K7" s="1"/>
      <c r="L7" s="1"/>
      <c r="M7" s="1"/>
      <c r="N7" s="1"/>
      <c r="Q7" s="1" t="s">
        <v>52</v>
      </c>
      <c r="R7" s="1">
        <f ca="1">COUNTIF(Planejamento!$J$4:$J$103,Q7)</f>
        <v>0</v>
      </c>
    </row>
    <row r="8" spans="2:19" ht="30" customHeight="1" x14ac:dyDescent="0.35">
      <c r="I8" s="1"/>
      <c r="J8" s="1"/>
      <c r="K8" s="1"/>
      <c r="L8" s="1"/>
      <c r="M8" s="1"/>
      <c r="N8" s="1"/>
      <c r="Q8" s="1" t="s">
        <v>36</v>
      </c>
      <c r="R8" s="1">
        <f ca="1">COUNTIF(Planejamento!$J$4:$J$103,Q8)</f>
        <v>0</v>
      </c>
    </row>
    <row r="9" spans="2:19" ht="30" customHeight="1" x14ac:dyDescent="0.35">
      <c r="I9" s="1"/>
      <c r="J9" s="1"/>
      <c r="K9" s="1"/>
      <c r="L9" s="1"/>
      <c r="M9" s="1"/>
      <c r="N9" s="1"/>
      <c r="Q9" s="1" t="s">
        <v>53</v>
      </c>
      <c r="R9" s="1">
        <f ca="1">COUNTIF(Planejamento!$J$4:$J$103,Q9)</f>
        <v>0</v>
      </c>
    </row>
    <row r="10" spans="2:19" ht="30" customHeight="1" x14ac:dyDescent="0.35">
      <c r="Q10" s="1" t="s">
        <v>49</v>
      </c>
      <c r="R10" s="1">
        <f ca="1">COUNTIF(Planejamento!$J$4:$J$103,Q10)</f>
        <v>4</v>
      </c>
    </row>
    <row r="11" spans="2:19" ht="30" customHeight="1" x14ac:dyDescent="0.35"/>
    <row r="12" spans="2:19" ht="30" customHeight="1" x14ac:dyDescent="0.35"/>
    <row r="13" spans="2:19" ht="30" customHeight="1" x14ac:dyDescent="0.35"/>
    <row r="14" spans="2:19" ht="30" customHeight="1" x14ac:dyDescent="0.35"/>
    <row r="15" spans="2:19" ht="30" customHeight="1" x14ac:dyDescent="0.35"/>
    <row r="16" spans="2:19" ht="30" customHeight="1" x14ac:dyDescent="0.35"/>
    <row r="17" ht="30" customHeight="1" x14ac:dyDescent="0.35"/>
    <row r="18" ht="30" customHeight="1" x14ac:dyDescent="0.35"/>
    <row r="19" ht="30" customHeight="1" x14ac:dyDescent="0.35"/>
    <row r="20" ht="30" customHeight="1" x14ac:dyDescent="0.35"/>
    <row r="21" ht="30" customHeight="1" x14ac:dyDescent="0.35"/>
    <row r="22" ht="30" customHeight="1" x14ac:dyDescent="0.35"/>
    <row r="23" ht="30" customHeight="1" x14ac:dyDescent="0.35"/>
    <row r="24" ht="30" customHeight="1" x14ac:dyDescent="0.35"/>
    <row r="25" ht="30" customHeight="1" x14ac:dyDescent="0.35"/>
    <row r="26" ht="30" customHeight="1" x14ac:dyDescent="0.35"/>
    <row r="27" ht="30" customHeight="1" x14ac:dyDescent="0.35"/>
    <row r="28" ht="30" customHeight="1" x14ac:dyDescent="0.35"/>
    <row r="29" ht="30" customHeight="1" x14ac:dyDescent="0.35"/>
    <row r="30" ht="30" customHeight="1" x14ac:dyDescent="0.35"/>
    <row r="31" ht="30" customHeight="1" x14ac:dyDescent="0.35"/>
    <row r="32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ht="30" customHeight="1" x14ac:dyDescent="0.35"/>
    <row r="91" ht="30" customHeight="1" x14ac:dyDescent="0.35"/>
    <row r="92" ht="30" customHeight="1" x14ac:dyDescent="0.35"/>
    <row r="93" ht="30" customHeight="1" x14ac:dyDescent="0.35"/>
    <row r="94" ht="30" customHeight="1" x14ac:dyDescent="0.35"/>
    <row r="95" ht="30" customHeight="1" x14ac:dyDescent="0.35"/>
    <row r="96" ht="30" customHeight="1" x14ac:dyDescent="0.35"/>
    <row r="97" ht="30" customHeight="1" x14ac:dyDescent="0.35"/>
    <row r="98" ht="30" customHeight="1" x14ac:dyDescent="0.35"/>
    <row r="99" x14ac:dyDescent="0.35"/>
    <row r="100" x14ac:dyDescent="0.35"/>
  </sheetData>
  <sheetProtection selectLockedCells="1"/>
  <mergeCells count="5">
    <mergeCell ref="B3:C3"/>
    <mergeCell ref="B4:C4"/>
    <mergeCell ref="E4:G4"/>
    <mergeCell ref="B6:C6"/>
    <mergeCell ref="E6:F6"/>
  </mergeCells>
  <conditionalFormatting sqref="D4">
    <cfRule type="cellIs" dxfId="5" priority="1" operator="greaterThanOrEqual">
      <formula>0.8</formula>
    </cfRule>
    <cfRule type="cellIs" dxfId="4" priority="2" operator="lessThan">
      <formula>0.5</formula>
    </cfRule>
    <cfRule type="cellIs" dxfId="3" priority="3" operator="between">
      <formula>0.5</formula>
      <formula>0.8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8">
    <pageSetUpPr fitToPage="1"/>
  </sheetPr>
  <dimension ref="A1:O100"/>
  <sheetViews>
    <sheetView showGridLines="0" topLeftCell="A27" zoomScale="70" zoomScaleNormal="70" workbookViewId="0">
      <selection activeCell="J4" sqref="J4"/>
    </sheetView>
  </sheetViews>
  <sheetFormatPr defaultColWidth="8.81640625" defaultRowHeight="14.5" zeroHeight="1" x14ac:dyDescent="0.35"/>
  <cols>
    <col min="1" max="1" width="3.81640625" customWidth="1"/>
    <col min="2" max="2" width="26.26953125" customWidth="1"/>
    <col min="9" max="9" width="18.36328125" customWidth="1"/>
    <col min="10" max="10" width="20.36328125" customWidth="1"/>
  </cols>
  <sheetData>
    <row r="1" spans="1:15" s="73" customFormat="1" ht="34" customHeight="1" x14ac:dyDescent="0.55000000000000004">
      <c r="B1" s="76"/>
    </row>
    <row r="2" spans="1:15" ht="9" customHeight="1" x14ac:dyDescent="0.6">
      <c r="A2" s="1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5" ht="46.5" customHeight="1" x14ac:dyDescent="0.35">
      <c r="B3" s="67" t="s">
        <v>54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31"/>
      <c r="N3" s="31"/>
      <c r="O3" s="31"/>
    </row>
    <row r="4" spans="1:15" ht="7.5" customHeight="1" x14ac:dyDescent="0.35"/>
    <row r="5" spans="1:15" ht="32.25" customHeight="1" x14ac:dyDescent="0.35">
      <c r="B5" s="32" t="s">
        <v>42</v>
      </c>
      <c r="I5" s="32" t="s">
        <v>43</v>
      </c>
      <c r="J5" s="32"/>
    </row>
    <row r="6" spans="1:15" ht="11.25" customHeight="1" x14ac:dyDescent="0.35"/>
    <row r="7" spans="1:15" ht="36" customHeight="1" thickBot="1" x14ac:dyDescent="0.4">
      <c r="B7" s="113" t="str">
        <f>Gráfico!B17</f>
        <v>Avanço da regulamentação da Inteligência Artificial no Brasil</v>
      </c>
      <c r="C7" s="114">
        <v>0</v>
      </c>
      <c r="D7" s="115">
        <f>Gráfico!D17</f>
        <v>125</v>
      </c>
      <c r="E7" s="116"/>
      <c r="F7" s="116"/>
      <c r="G7" s="117"/>
      <c r="I7" s="113" t="str">
        <f>Gráfico!B33</f>
        <v>Variação cambial (Dólar) impactando licenças de Cloud (AWS, Azure, etc.)</v>
      </c>
      <c r="J7" s="114">
        <v>0</v>
      </c>
      <c r="K7" s="115">
        <f>Gráfico!D33</f>
        <v>100</v>
      </c>
      <c r="L7" s="116"/>
      <c r="M7" s="116"/>
      <c r="N7" s="117"/>
    </row>
    <row r="8" spans="1:15" ht="36" customHeight="1" thickTop="1" thickBot="1" x14ac:dyDescent="0.4">
      <c r="B8" s="113" t="str">
        <f>Gráfico!B18</f>
        <v>Regulamentação e fiscalização da LGPD no uso de dados corporativos</v>
      </c>
      <c r="C8" s="114">
        <v>1</v>
      </c>
      <c r="D8" s="115">
        <f>Gráfico!D18</f>
        <v>75</v>
      </c>
      <c r="E8" s="116"/>
      <c r="F8" s="116"/>
      <c r="G8" s="117"/>
      <c r="I8" s="113" t="str">
        <f>Gráfico!B34</f>
        <v>Inflação salarial e custo para atração/retenção de talentos de TI</v>
      </c>
      <c r="J8" s="114">
        <v>1</v>
      </c>
      <c r="K8" s="115">
        <f>Gráfico!D34</f>
        <v>48</v>
      </c>
      <c r="L8" s="116"/>
      <c r="M8" s="116"/>
      <c r="N8" s="117"/>
    </row>
    <row r="9" spans="1:15" ht="36" customHeight="1" thickTop="1" thickBot="1" x14ac:dyDescent="0.4">
      <c r="B9" s="113" t="str">
        <f>Gráfico!B19</f>
        <v>Tributação sobre serviços de tecnologia e computação em nuvem</v>
      </c>
      <c r="C9" s="114">
        <v>2</v>
      </c>
      <c r="D9" s="115">
        <f>Gráfico!D19</f>
        <v>48</v>
      </c>
      <c r="E9" s="116"/>
      <c r="F9" s="116"/>
      <c r="G9" s="117"/>
      <c r="I9" s="113" t="str">
        <f>Gráfico!B35</f>
        <v>Competitividade e pressão sobre o pricing de consultorias de dados</v>
      </c>
      <c r="J9" s="114">
        <v>2</v>
      </c>
      <c r="K9" s="115">
        <f>Gráfico!D35</f>
        <v>36</v>
      </c>
      <c r="L9" s="116"/>
      <c r="M9" s="116"/>
      <c r="N9" s="117"/>
    </row>
    <row r="10" spans="1:15" ht="36" customHeight="1" thickTop="1" thickBot="1" x14ac:dyDescent="0.4">
      <c r="B10" s="113" t="str">
        <f>Gráfico!B20</f>
        <v>Regras sobre transferência internacional de dados (Cloud)</v>
      </c>
      <c r="C10" s="114">
        <v>3</v>
      </c>
      <c r="D10" s="115">
        <f>Gráfico!D20</f>
        <v>45</v>
      </c>
      <c r="E10" s="116"/>
      <c r="F10" s="116"/>
      <c r="G10" s="117"/>
      <c r="I10" s="113" t="str">
        <f>Gráfico!B36</f>
        <v>Crescimento de investimentos tecnológicos no Setor Financeiro e Seguradoras</v>
      </c>
      <c r="J10" s="114">
        <v>3</v>
      </c>
      <c r="K10" s="115">
        <f>Gráfico!D36</f>
        <v>20</v>
      </c>
      <c r="L10" s="116"/>
      <c r="M10" s="116"/>
      <c r="N10" s="117"/>
    </row>
    <row r="11" spans="1:15" ht="36" customHeight="1" thickTop="1" thickBot="1" x14ac:dyDescent="0.4">
      <c r="B11" s="113" t="str">
        <f>Gráfico!B21</f>
        <v>Marcos regulatórios e de compliance no setor financeiro</v>
      </c>
      <c r="C11" s="114">
        <v>4</v>
      </c>
      <c r="D11" s="115">
        <f>Gráfico!D21</f>
        <v>24</v>
      </c>
      <c r="E11" s="116"/>
      <c r="F11" s="116"/>
      <c r="G11" s="117"/>
      <c r="I11" s="113" t="str">
        <f>Gráfico!B37</f>
        <v>Orçamento corporativo focado em eficiência e redução de custos (FinOps)</v>
      </c>
      <c r="J11" s="114">
        <v>4</v>
      </c>
      <c r="K11" s="115">
        <f>Gráfico!D37</f>
        <v>12</v>
      </c>
      <c r="L11" s="116"/>
      <c r="M11" s="116"/>
      <c r="N11" s="117"/>
    </row>
    <row r="12" spans="1:15" ht="15" customHeight="1" thickTop="1" x14ac:dyDescent="0.35"/>
    <row r="13" spans="1:15" ht="27" customHeight="1" x14ac:dyDescent="0.35">
      <c r="B13" s="32" t="s">
        <v>58</v>
      </c>
      <c r="I13" s="32" t="s">
        <v>44</v>
      </c>
      <c r="J13" s="32"/>
    </row>
    <row r="14" spans="1:15" ht="15" customHeight="1" x14ac:dyDescent="0.35"/>
    <row r="15" spans="1:15" ht="36" customHeight="1" thickBot="1" x14ac:dyDescent="0.4">
      <c r="B15" s="113" t="str">
        <f>Gráfico!B25</f>
        <v>Adoção descontrolada de ferramentas de IA pelos funcionários (Shadow AI)</v>
      </c>
      <c r="C15" s="114">
        <v>0</v>
      </c>
      <c r="D15" s="115">
        <f>Gráfico!D25</f>
        <v>125</v>
      </c>
      <c r="E15" s="116">
        <v>0</v>
      </c>
      <c r="F15" s="116"/>
      <c r="G15" s="117"/>
      <c r="I15" s="113" t="str">
        <f>Gráfico!B41</f>
        <v>Aumento da complexidade na integração de múltiplas plataformas (Salesforce, Oracle, etc.)</v>
      </c>
      <c r="J15" s="114">
        <v>0</v>
      </c>
      <c r="K15" s="115">
        <f>Gráfico!D41</f>
        <v>48</v>
      </c>
      <c r="L15" s="116">
        <v>0</v>
      </c>
      <c r="M15" s="116"/>
      <c r="N15" s="117"/>
    </row>
    <row r="16" spans="1:15" ht="36" customHeight="1" thickTop="1" thickBot="1" x14ac:dyDescent="0.4">
      <c r="B16" s="113" t="str">
        <f>Gráfico!B26</f>
        <v>Escassez de mão de obra superespecializada em dados e IA no mercado</v>
      </c>
      <c r="C16" s="114">
        <v>1</v>
      </c>
      <c r="D16" s="115">
        <f>Gráfico!D26</f>
        <v>80</v>
      </c>
      <c r="E16" s="116">
        <v>1</v>
      </c>
      <c r="F16" s="116"/>
      <c r="G16" s="117"/>
      <c r="I16" s="113" t="str">
        <f>Gráfico!B42</f>
        <v>Rápida evolução e surgimento de novas ferramentas de Inteligência Artificial</v>
      </c>
      <c r="J16" s="114">
        <v>1</v>
      </c>
      <c r="K16" s="115">
        <f>Gráfico!D42</f>
        <v>25</v>
      </c>
      <c r="L16" s="116">
        <v>1</v>
      </c>
      <c r="M16" s="116"/>
      <c r="N16" s="117"/>
    </row>
    <row r="17" spans="2:15" ht="36" customHeight="1" thickTop="1" thickBot="1" x14ac:dyDescent="0.4">
      <c r="B17" s="113" t="str">
        <f>Gráfico!B27</f>
        <v>Preocupação crescente com a privacidade e vazamento de dados corporativos</v>
      </c>
      <c r="C17" s="114">
        <v>2</v>
      </c>
      <c r="D17" s="115">
        <f>Gráfico!D27</f>
        <v>48</v>
      </c>
      <c r="E17" s="116">
        <v>2</v>
      </c>
      <c r="F17" s="116"/>
      <c r="G17" s="117"/>
      <c r="I17" s="113" t="str">
        <f>Gráfico!B43</f>
        <v>Crescimento da necessidade de plataformas de Governança de Dados e IA</v>
      </c>
      <c r="J17" s="114">
        <v>2</v>
      </c>
      <c r="K17" s="115">
        <f>Gráfico!D43</f>
        <v>25</v>
      </c>
      <c r="L17" s="116">
        <v>2</v>
      </c>
      <c r="M17" s="116"/>
      <c r="N17" s="117"/>
    </row>
    <row r="18" spans="2:15" ht="36" customHeight="1" thickTop="1" thickBot="1" x14ac:dyDescent="0.4">
      <c r="B18" s="113" t="str">
        <f>Gráfico!B28</f>
        <v>Necessidade contínua de capacitação das equipes (Lifelong learning)</v>
      </c>
      <c r="C18" s="114">
        <v>3</v>
      </c>
      <c r="D18" s="115">
        <f>Gráfico!D28</f>
        <v>18</v>
      </c>
      <c r="E18" s="116">
        <v>3</v>
      </c>
      <c r="F18" s="116"/>
      <c r="G18" s="117"/>
      <c r="I18" s="113" t="str">
        <f>Gráfico!B44</f>
        <v>Evolução dos ecossistemas de Cloud e Data Lakehouses (Databricks, Snowflake)</v>
      </c>
      <c r="J18" s="114">
        <v>3</v>
      </c>
      <c r="K18" s="115">
        <f>Gráfico!D44</f>
        <v>24</v>
      </c>
      <c r="L18" s="116">
        <v>3</v>
      </c>
      <c r="M18" s="116"/>
      <c r="N18" s="117"/>
    </row>
    <row r="19" spans="2:15" ht="36" customHeight="1" thickTop="1" thickBot="1" x14ac:dyDescent="0.4">
      <c r="B19" s="113" t="str">
        <f>Gráfico!B29</f>
        <v>Resistência social e medo da substituição de empregos por Inteligência Artificial</v>
      </c>
      <c r="C19" s="114">
        <v>4</v>
      </c>
      <c r="D19" s="115">
        <f>Gráfico!D29</f>
        <v>16</v>
      </c>
      <c r="E19" s="116">
        <v>4</v>
      </c>
      <c r="F19" s="116"/>
      <c r="G19" s="117"/>
      <c r="I19" s="113" t="str">
        <f>Gráfico!B45</f>
        <v>Democratização do Self-Service BI exigindo mais controle e monitoramento</v>
      </c>
      <c r="J19" s="114">
        <v>4</v>
      </c>
      <c r="K19" s="115">
        <f>Gráfico!D45</f>
        <v>18</v>
      </c>
      <c r="L19" s="116">
        <v>4</v>
      </c>
      <c r="M19" s="116"/>
      <c r="N19" s="117"/>
    </row>
    <row r="20" spans="2:15" ht="11.25" customHeight="1" thickTop="1" x14ac:dyDescent="0.35"/>
    <row r="21" spans="2:15" ht="15" customHeight="1" x14ac:dyDescent="0.35"/>
    <row r="22" spans="2:15" ht="37.5" customHeight="1" x14ac:dyDescent="0.35">
      <c r="B22" s="32" t="s">
        <v>37</v>
      </c>
      <c r="I22" s="32" t="s">
        <v>56</v>
      </c>
    </row>
    <row r="23" spans="2:15" ht="15" customHeight="1" thickBot="1" x14ac:dyDescent="0.4"/>
    <row r="24" spans="2:15" ht="60" customHeight="1" thickTop="1" thickBot="1" x14ac:dyDescent="0.4">
      <c r="B24" s="66" t="s">
        <v>38</v>
      </c>
      <c r="C24" s="122">
        <f>Gráfico!C10</f>
        <v>370</v>
      </c>
      <c r="D24" s="123"/>
      <c r="E24" s="123"/>
      <c r="F24" s="123"/>
      <c r="G24" s="123"/>
    </row>
    <row r="25" spans="2:15" ht="60" customHeight="1" thickTop="1" thickBot="1" x14ac:dyDescent="0.4">
      <c r="B25" s="66" t="s">
        <v>39</v>
      </c>
      <c r="C25" s="122">
        <f>Gráfico!C11</f>
        <v>267</v>
      </c>
      <c r="D25" s="123"/>
      <c r="E25" s="123"/>
      <c r="F25" s="123"/>
      <c r="G25" s="123"/>
    </row>
    <row r="26" spans="2:15" ht="60" customHeight="1" thickTop="1" thickBot="1" x14ac:dyDescent="0.4">
      <c r="B26" s="66" t="s">
        <v>40</v>
      </c>
      <c r="C26" s="122">
        <f>Gráfico!C12</f>
        <v>329</v>
      </c>
      <c r="D26" s="123"/>
      <c r="E26" s="123"/>
      <c r="F26" s="123"/>
      <c r="G26" s="123"/>
    </row>
    <row r="27" spans="2:15" ht="60" customHeight="1" thickTop="1" thickBot="1" x14ac:dyDescent="0.4">
      <c r="B27" s="66" t="s">
        <v>41</v>
      </c>
      <c r="C27" s="122">
        <f>Gráfico!C13</f>
        <v>182</v>
      </c>
      <c r="D27" s="123"/>
      <c r="E27" s="123"/>
      <c r="F27" s="123"/>
      <c r="G27" s="123"/>
    </row>
    <row r="28" spans="2:15" ht="15" customHeight="1" thickTop="1" x14ac:dyDescent="0.35"/>
    <row r="29" spans="2:15" ht="46.5" customHeight="1" x14ac:dyDescent="0.35">
      <c r="B29" s="31" t="s">
        <v>55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  <row r="30" spans="2:15" ht="17.25" customHeight="1" thickBot="1" x14ac:dyDescent="0.4"/>
    <row r="31" spans="2:15" ht="55" customHeight="1" thickTop="1" thickBot="1" x14ac:dyDescent="0.4">
      <c r="B31" s="111" t="str">
        <f>'Análise do Planejamento'!B4</f>
        <v>Você definiu planos de ação para 4 de 20 dos principais itens da sua Análise PEST</v>
      </c>
      <c r="C31" s="111"/>
      <c r="D31" s="124">
        <f>'Análise do Planejamento'!D4</f>
        <v>0.2</v>
      </c>
      <c r="E31" s="125"/>
      <c r="F31" s="126" t="str">
        <f>'Análise do Planejamento'!E4</f>
        <v>Se você busca melhores resultados, é preciso atuar em mais itens criando planos de ação eficientes para cada um deles!</v>
      </c>
      <c r="G31" s="127"/>
      <c r="H31" s="127"/>
      <c r="I31" s="127"/>
      <c r="J31" s="127"/>
      <c r="K31" s="127"/>
      <c r="L31" s="127"/>
      <c r="M31" s="127"/>
      <c r="N31" s="128"/>
    </row>
    <row r="32" spans="2:15" ht="19.5" customHeight="1" thickTop="1" x14ac:dyDescent="0.35"/>
    <row r="33" spans="2:10" ht="32.25" customHeight="1" x14ac:dyDescent="0.35">
      <c r="B33" s="120" t="s">
        <v>50</v>
      </c>
      <c r="C33" s="121"/>
      <c r="D33" s="121"/>
      <c r="E33" s="121"/>
      <c r="F33" s="121"/>
      <c r="I33" s="118" t="s">
        <v>57</v>
      </c>
      <c r="J33" s="119"/>
    </row>
    <row r="34" spans="2:10" ht="32.25" customHeight="1" x14ac:dyDescent="0.35"/>
    <row r="35" spans="2:10" ht="32.25" customHeight="1" x14ac:dyDescent="0.35"/>
    <row r="36" spans="2:10" ht="32.25" customHeight="1" x14ac:dyDescent="0.35"/>
    <row r="37" spans="2:10" ht="32.25" customHeight="1" x14ac:dyDescent="0.35"/>
    <row r="38" spans="2:10" ht="32.25" customHeight="1" x14ac:dyDescent="0.35"/>
    <row r="39" spans="2:10" ht="32.25" customHeight="1" x14ac:dyDescent="0.35"/>
    <row r="40" spans="2:10" ht="32.25" customHeight="1" x14ac:dyDescent="0.35"/>
    <row r="41" spans="2:10" ht="30" customHeight="1" x14ac:dyDescent="0.35"/>
    <row r="42" spans="2:10" ht="30" customHeight="1" x14ac:dyDescent="0.35"/>
    <row r="43" spans="2:10" ht="30" customHeight="1" x14ac:dyDescent="0.35"/>
    <row r="44" spans="2:10" ht="30" customHeight="1" x14ac:dyDescent="0.35"/>
    <row r="45" spans="2:10" ht="30" customHeight="1" x14ac:dyDescent="0.35"/>
    <row r="46" spans="2:10" ht="30" customHeight="1" x14ac:dyDescent="0.35"/>
    <row r="47" spans="2:10" ht="30" customHeight="1" x14ac:dyDescent="0.35"/>
    <row r="48" spans="2:10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  <row r="55" ht="30" customHeight="1" x14ac:dyDescent="0.35"/>
    <row r="56" ht="30" customHeight="1" x14ac:dyDescent="0.35"/>
    <row r="57" ht="30" customHeight="1" x14ac:dyDescent="0.35"/>
    <row r="58" ht="30" customHeight="1" x14ac:dyDescent="0.35"/>
    <row r="59" ht="30" customHeight="1" x14ac:dyDescent="0.35"/>
    <row r="60" ht="30" customHeight="1" x14ac:dyDescent="0.35"/>
    <row r="61" ht="30" customHeight="1" x14ac:dyDescent="0.35"/>
    <row r="62" ht="30" customHeight="1" x14ac:dyDescent="0.35"/>
    <row r="63" ht="30" customHeight="1" x14ac:dyDescent="0.35"/>
    <row r="64" ht="30" customHeight="1" x14ac:dyDescent="0.35"/>
    <row r="65" ht="30" customHeight="1" x14ac:dyDescent="0.35"/>
    <row r="66" ht="30" customHeight="1" x14ac:dyDescent="0.35"/>
    <row r="67" ht="30" customHeight="1" x14ac:dyDescent="0.35"/>
    <row r="68" ht="30" customHeight="1" x14ac:dyDescent="0.35"/>
    <row r="69" ht="30" customHeight="1" x14ac:dyDescent="0.35"/>
    <row r="70" ht="30" customHeight="1" x14ac:dyDescent="0.35"/>
    <row r="71" ht="30" customHeight="1" x14ac:dyDescent="0.35"/>
    <row r="72" ht="30" customHeight="1" x14ac:dyDescent="0.35"/>
    <row r="73" ht="30" customHeight="1" x14ac:dyDescent="0.35"/>
    <row r="74" ht="30" customHeight="1" x14ac:dyDescent="0.35"/>
    <row r="75" ht="30" customHeight="1" x14ac:dyDescent="0.35"/>
    <row r="76" ht="30" customHeight="1" x14ac:dyDescent="0.35"/>
    <row r="77" ht="30" customHeight="1" x14ac:dyDescent="0.35"/>
    <row r="78" ht="30" customHeight="1" x14ac:dyDescent="0.35"/>
    <row r="79" ht="30" customHeight="1" x14ac:dyDescent="0.35"/>
    <row r="80" ht="30" customHeight="1" x14ac:dyDescent="0.35"/>
    <row r="81" ht="30" customHeight="1" x14ac:dyDescent="0.35"/>
    <row r="82" ht="30" customHeight="1" x14ac:dyDescent="0.35"/>
    <row r="83" ht="30" customHeight="1" x14ac:dyDescent="0.35"/>
    <row r="84" ht="30" customHeight="1" x14ac:dyDescent="0.35"/>
    <row r="85" ht="30" customHeight="1" x14ac:dyDescent="0.35"/>
    <row r="86" ht="30" customHeight="1" x14ac:dyDescent="0.35"/>
    <row r="87" ht="30" customHeight="1" x14ac:dyDescent="0.35"/>
    <row r="88" ht="30" customHeight="1" x14ac:dyDescent="0.35"/>
    <row r="89" ht="30" customHeight="1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</sheetData>
  <sheetProtection selectLockedCells="1"/>
  <mergeCells count="49">
    <mergeCell ref="C25:G25"/>
    <mergeCell ref="B17:C17"/>
    <mergeCell ref="D17:G17"/>
    <mergeCell ref="I17:J17"/>
    <mergeCell ref="K17:N17"/>
    <mergeCell ref="I33:J33"/>
    <mergeCell ref="B33:F33"/>
    <mergeCell ref="B19:C19"/>
    <mergeCell ref="D19:G19"/>
    <mergeCell ref="I19:J19"/>
    <mergeCell ref="C26:G26"/>
    <mergeCell ref="C27:G27"/>
    <mergeCell ref="B31:C31"/>
    <mergeCell ref="D31:E31"/>
    <mergeCell ref="F31:N31"/>
    <mergeCell ref="K19:N19"/>
    <mergeCell ref="C24:G24"/>
    <mergeCell ref="B18:C18"/>
    <mergeCell ref="D18:G18"/>
    <mergeCell ref="I18:J18"/>
    <mergeCell ref="K18:N18"/>
    <mergeCell ref="B11:C11"/>
    <mergeCell ref="D11:G11"/>
    <mergeCell ref="I11:J11"/>
    <mergeCell ref="K11:N11"/>
    <mergeCell ref="B15:C15"/>
    <mergeCell ref="D15:G15"/>
    <mergeCell ref="I15:J15"/>
    <mergeCell ref="K15:N15"/>
    <mergeCell ref="B16:C16"/>
    <mergeCell ref="D16:G16"/>
    <mergeCell ref="I16:J16"/>
    <mergeCell ref="K16:N16"/>
    <mergeCell ref="B9:C9"/>
    <mergeCell ref="D9:G9"/>
    <mergeCell ref="I9:J9"/>
    <mergeCell ref="K9:N9"/>
    <mergeCell ref="B10:C10"/>
    <mergeCell ref="D10:G10"/>
    <mergeCell ref="I10:J10"/>
    <mergeCell ref="K10:N10"/>
    <mergeCell ref="B7:C7"/>
    <mergeCell ref="D7:G7"/>
    <mergeCell ref="I7:J7"/>
    <mergeCell ref="K7:N7"/>
    <mergeCell ref="B8:C8"/>
    <mergeCell ref="D8:G8"/>
    <mergeCell ref="I8:J8"/>
    <mergeCell ref="K8:N8"/>
  </mergeCells>
  <phoneticPr fontId="29" type="noConversion"/>
  <conditionalFormatting sqref="C24:C27">
    <cfRule type="dataBar" priority="8">
      <dataBar>
        <cfvo type="num" val="0"/>
        <cfvo type="max"/>
        <color rgb="FF6699CC"/>
      </dataBar>
      <extLst>
        <ext xmlns:x14="http://schemas.microsoft.com/office/spreadsheetml/2009/9/main" uri="{B025F937-C7B1-47D3-B67F-A62EFF666E3E}">
          <x14:id>{EB932804-ED57-45B3-87E2-87089EB0B79F}</x14:id>
        </ext>
      </extLst>
    </cfRule>
  </conditionalFormatting>
  <conditionalFormatting sqref="D7:D11">
    <cfRule type="dataBar" priority="7">
      <dataBar>
        <cfvo type="num" val="0"/>
        <cfvo type="num" val="125"/>
        <color rgb="FF99CC99"/>
      </dataBar>
      <extLst>
        <ext xmlns:x14="http://schemas.microsoft.com/office/spreadsheetml/2009/9/main" uri="{B025F937-C7B1-47D3-B67F-A62EFF666E3E}">
          <x14:id>{D300FA72-0BAB-4F37-8CF2-5D437ADC2FD4}</x14:id>
        </ext>
      </extLst>
    </cfRule>
  </conditionalFormatting>
  <conditionalFormatting sqref="D15:D19">
    <cfRule type="dataBar" priority="5">
      <dataBar>
        <cfvo type="num" val="0"/>
        <cfvo type="num" val="125"/>
        <color theme="3" tint="0.59999389629810485"/>
      </dataBar>
      <extLst>
        <ext xmlns:x14="http://schemas.microsoft.com/office/spreadsheetml/2009/9/main" uri="{B025F937-C7B1-47D3-B67F-A62EFF666E3E}">
          <x14:id>{186F17E0-1595-4BB5-8C6B-AA3A4D6FD8D6}</x14:id>
        </ext>
      </extLst>
    </cfRule>
  </conditionalFormatting>
  <conditionalFormatting sqref="D31">
    <cfRule type="cellIs" dxfId="2" priority="1" operator="greaterThanOrEqual">
      <formula>0.8</formula>
    </cfRule>
    <cfRule type="cellIs" dxfId="1" priority="2" operator="lessThan">
      <formula>0.5</formula>
    </cfRule>
    <cfRule type="cellIs" dxfId="0" priority="3" operator="between">
      <formula>0.5</formula>
      <formula>0.8</formula>
    </cfRule>
  </conditionalFormatting>
  <conditionalFormatting sqref="K7:K11">
    <cfRule type="dataBar" priority="6">
      <dataBar>
        <cfvo type="num" val="0"/>
        <cfvo type="num" val="125"/>
        <color rgb="FFFFC000"/>
      </dataBar>
      <extLst>
        <ext xmlns:x14="http://schemas.microsoft.com/office/spreadsheetml/2009/9/main" uri="{B025F937-C7B1-47D3-B67F-A62EFF666E3E}">
          <x14:id>{BB28D867-AABC-48F0-B7DA-7A0F2DF4299C}</x14:id>
        </ext>
      </extLst>
    </cfRule>
  </conditionalFormatting>
  <conditionalFormatting sqref="K15:K19">
    <cfRule type="dataBar" priority="4">
      <dataBar>
        <cfvo type="num" val="0"/>
        <cfvo type="num" val="125"/>
        <color rgb="FFFF6666"/>
      </dataBar>
      <extLst>
        <ext xmlns:x14="http://schemas.microsoft.com/office/spreadsheetml/2009/9/main" uri="{B025F937-C7B1-47D3-B67F-A62EFF666E3E}">
          <x14:id>{292DACF1-8893-4B2F-A01E-447819308DA8}</x14:id>
        </ext>
      </extLst>
    </cfRule>
  </conditionalFormatting>
  <pageMargins left="0.511811024" right="0.511811024" top="0.78740157499999996" bottom="0.78740157499999996" header="0.31496062000000002" footer="0.31496062000000002"/>
  <pageSetup paperSize="9" scale="83" fitToHeight="0" orientation="landscape" r:id="rId1"/>
  <rowBreaks count="3" manualBreakCount="3">
    <brk id="2" min="1" max="13" man="1"/>
    <brk id="21" min="1" max="13" man="1"/>
    <brk id="28" min="1" max="1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932804-ED57-45B3-87E2-87089EB0B79F}">
            <x14:dataBar minLength="0" maxLength="100" gradient="0" negativeBarColorSameAsPositive="1" axisPosition="none">
              <x14:cfvo type="num">
                <xm:f>0</xm:f>
              </x14:cfvo>
              <x14:cfvo type="max"/>
            </x14:dataBar>
          </x14:cfRule>
          <xm:sqref>C24:C27</xm:sqref>
        </x14:conditionalFormatting>
        <x14:conditionalFormatting xmlns:xm="http://schemas.microsoft.com/office/excel/2006/main">
          <x14:cfRule type="dataBar" id="{D300FA72-0BAB-4F37-8CF2-5D437ADC2FD4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D7:D11</xm:sqref>
        </x14:conditionalFormatting>
        <x14:conditionalFormatting xmlns:xm="http://schemas.microsoft.com/office/excel/2006/main">
          <x14:cfRule type="dataBar" id="{186F17E0-1595-4BB5-8C6B-AA3A4D6FD8D6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D15:D19</xm:sqref>
        </x14:conditionalFormatting>
        <x14:conditionalFormatting xmlns:xm="http://schemas.microsoft.com/office/excel/2006/main">
          <x14:cfRule type="dataBar" id="{BB28D867-AABC-48F0-B7DA-7A0F2DF4299C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K7:K11</xm:sqref>
        </x14:conditionalFormatting>
        <x14:conditionalFormatting xmlns:xm="http://schemas.microsoft.com/office/excel/2006/main">
          <x14:cfRule type="dataBar" id="{292DACF1-8893-4B2F-A01E-447819308DA8}">
            <x14:dataBar minLength="0" maxLength="100" gradient="0" negativeBarColorSameAsPositive="1" axisPosition="none">
              <x14:cfvo type="num">
                <xm:f>0</xm:f>
              </x14:cfvo>
              <x14:cfvo type="num">
                <xm:f>125</xm:f>
              </x14:cfvo>
            </x14:dataBar>
          </x14:cfRule>
          <xm:sqref>K15:K19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65BB401A98EC40930FEBD379296C3B" ma:contentTypeVersion="12" ma:contentTypeDescription="Crie um novo documento." ma:contentTypeScope="" ma:versionID="b9d2b70b2334cbd154384c4cccc53c61">
  <xsd:schema xmlns:xsd="http://www.w3.org/2001/XMLSchema" xmlns:xs="http://www.w3.org/2001/XMLSchema" xmlns:p="http://schemas.microsoft.com/office/2006/metadata/properties" xmlns:ns3="4f6a304a-77ff-48bd-8c25-7cbe32d66ec7" targetNamespace="http://schemas.microsoft.com/office/2006/metadata/properties" ma:root="true" ma:fieldsID="35b4aaf6ebb3483e3018f3baead2c3a1" ns3:_="">
    <xsd:import namespace="4f6a304a-77ff-48bd-8c25-7cbe32d66e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a304a-77ff-48bd-8c25-7cbe32d66e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f6a304a-77ff-48bd-8c25-7cbe32d66ec7" xsi:nil="true"/>
  </documentManagement>
</p:properties>
</file>

<file path=customXml/itemProps1.xml><?xml version="1.0" encoding="utf-8"?>
<ds:datastoreItem xmlns:ds="http://schemas.openxmlformats.org/officeDocument/2006/customXml" ds:itemID="{820D0C94-D227-46B3-A51E-6CD2E7C951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6a304a-77ff-48bd-8c25-7cbe32d66e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904524-C29B-4B34-9DA7-6A81AC77E3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942309-E128-43BB-A94F-BA7A9278790A}">
  <ds:schemaRefs>
    <ds:schemaRef ds:uri="http://purl.org/dc/dcmitype/"/>
    <ds:schemaRef ds:uri="http://schemas.openxmlformats.org/package/2006/metadata/core-properties"/>
    <ds:schemaRef ds:uri="4f6a304a-77ff-48bd-8c25-7cbe32d66ec7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2</vt:i4>
      </vt:variant>
    </vt:vector>
  </HeadingPairs>
  <TitlesOfParts>
    <vt:vector size="14" baseType="lpstr">
      <vt:lpstr>MENU</vt:lpstr>
      <vt:lpstr>Setores</vt:lpstr>
      <vt:lpstr>Líderes</vt:lpstr>
      <vt:lpstr>Fator Político</vt:lpstr>
      <vt:lpstr>Fator Econômico</vt:lpstr>
      <vt:lpstr>Fator Social</vt:lpstr>
      <vt:lpstr>Fator Tecnológico</vt:lpstr>
      <vt:lpstr>Matriz</vt:lpstr>
      <vt:lpstr>Planejamento</vt:lpstr>
      <vt:lpstr>Gráfico</vt:lpstr>
      <vt:lpstr>Análise do Planejamento</vt:lpstr>
      <vt:lpstr>Resumo</vt:lpstr>
      <vt:lpstr>Resumo!Area_de_impressao</vt:lpstr>
      <vt:lpstr>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Fernand6</dc:creator>
  <cp:lastModifiedBy>JULIA EGUTE DE PAULA MACHADO</cp:lastModifiedBy>
  <cp:lastPrinted>2017-06-26T16:40:01Z</cp:lastPrinted>
  <dcterms:created xsi:type="dcterms:W3CDTF">2014-08-23T07:21:08Z</dcterms:created>
  <dcterms:modified xsi:type="dcterms:W3CDTF">2026-09-02T19:46:04Z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671294be-c947-46b3-9aad-8a4504906950</vt:lpwstr>
  </property>
  <property fmtid="{D5CDD505-2E9C-101B-9397-08002B2CF9AE}" pid="3" name="ContentTypeId">
    <vt:lpwstr>0x0101008765BB401A98EC40930FEBD379296C3B</vt:lpwstr>
  </property>
</Properties>
</file>